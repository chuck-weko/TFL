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https://d.docs.live.net/175c11490562603e/Documents/GitHub/TFL/DOD/DODI/"/>
    </mc:Choice>
  </mc:AlternateContent>
  <xr:revisionPtr revIDLastSave="139" documentId="6_{29133202-4D38-476F-945C-E789CD5AF643}" xr6:coauthVersionLast="47" xr6:coauthVersionMax="47" xr10:uidLastSave="{FE7DF0F0-F354-4CF7-B3D7-41A6DA4479B4}"/>
  <bookViews>
    <workbookView xWindow="-120" yWindow="-120" windowWidth="20640" windowHeight="11040" activeTab="1" xr2:uid="{6FA79D90-9FD1-455F-85F1-0312B1D3C56F}"/>
  </bookViews>
  <sheets>
    <sheet name="Dashboard" sheetId="9" r:id="rId1"/>
    <sheet name="Document IDs" sheetId="8" r:id="rId2"/>
    <sheet name="Data Control" sheetId="10" r:id="rId3"/>
  </sheets>
  <definedNames>
    <definedName name="_xlnm._FilterDatabase" localSheetId="1" hidden="1">'Document IDs'!$A$1:$J$828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8" l="1"/>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87" i="8"/>
  <c r="I188" i="8"/>
  <c r="I189" i="8"/>
  <c r="I190" i="8"/>
  <c r="I191" i="8"/>
  <c r="I192" i="8"/>
  <c r="I193" i="8"/>
  <c r="I194"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0" i="8"/>
  <c r="I241" i="8"/>
  <c r="I242" i="8"/>
  <c r="I243" i="8"/>
  <c r="I244"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I306" i="8"/>
  <c r="I307" i="8"/>
  <c r="I308" i="8"/>
  <c r="I309" i="8"/>
  <c r="I310" i="8"/>
  <c r="I311" i="8"/>
  <c r="I312" i="8"/>
  <c r="I313" i="8"/>
  <c r="I314" i="8"/>
  <c r="I315" i="8"/>
  <c r="I316" i="8"/>
  <c r="I317" i="8"/>
  <c r="I318" i="8"/>
  <c r="I319" i="8"/>
  <c r="I320" i="8"/>
  <c r="I321" i="8"/>
  <c r="I322" i="8"/>
  <c r="I323" i="8"/>
  <c r="I324" i="8"/>
  <c r="I325" i="8"/>
  <c r="I326" i="8"/>
  <c r="I327" i="8"/>
  <c r="I328" i="8"/>
  <c r="I329" i="8"/>
  <c r="I330" i="8"/>
  <c r="I331"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I370" i="8"/>
  <c r="I371" i="8"/>
  <c r="I372" i="8"/>
  <c r="I373" i="8"/>
  <c r="I374" i="8"/>
  <c r="I375" i="8"/>
  <c r="I376" i="8"/>
  <c r="I377" i="8"/>
  <c r="I378" i="8"/>
  <c r="I379" i="8"/>
  <c r="I380" i="8"/>
  <c r="I381" i="8"/>
  <c r="I382" i="8"/>
  <c r="I383" i="8"/>
  <c r="I384" i="8"/>
  <c r="I385" i="8"/>
  <c r="I386" i="8"/>
  <c r="I387" i="8"/>
  <c r="I388" i="8"/>
  <c r="I389" i="8"/>
  <c r="I390" i="8"/>
  <c r="I391" i="8"/>
  <c r="I392" i="8"/>
  <c r="I393" i="8"/>
  <c r="I394" i="8"/>
  <c r="I395" i="8"/>
  <c r="I396" i="8"/>
  <c r="I397" i="8"/>
  <c r="I398" i="8"/>
  <c r="I399" i="8"/>
  <c r="I400" i="8"/>
  <c r="I401" i="8"/>
  <c r="I402" i="8"/>
  <c r="I403" i="8"/>
  <c r="I404" i="8"/>
  <c r="I405" i="8"/>
  <c r="I406" i="8"/>
  <c r="I407" i="8"/>
  <c r="I408" i="8"/>
  <c r="I409" i="8"/>
  <c r="I410" i="8"/>
  <c r="I411" i="8"/>
  <c r="I412" i="8"/>
  <c r="I413" i="8"/>
  <c r="I414" i="8"/>
  <c r="I415" i="8"/>
  <c r="I416" i="8"/>
  <c r="I417" i="8"/>
  <c r="I418" i="8"/>
  <c r="I419" i="8"/>
  <c r="I420" i="8"/>
  <c r="I421" i="8"/>
  <c r="I422" i="8"/>
  <c r="I423" i="8"/>
  <c r="I424" i="8"/>
  <c r="I425" i="8"/>
  <c r="I426" i="8"/>
  <c r="I427" i="8"/>
  <c r="I428" i="8"/>
  <c r="I429" i="8"/>
  <c r="I430" i="8"/>
  <c r="I431" i="8"/>
  <c r="I432" i="8"/>
  <c r="I433" i="8"/>
  <c r="I434" i="8"/>
  <c r="I435" i="8"/>
  <c r="I436" i="8"/>
  <c r="I437" i="8"/>
  <c r="I438" i="8"/>
  <c r="I439" i="8"/>
  <c r="I440" i="8"/>
  <c r="I441" i="8"/>
  <c r="I442" i="8"/>
  <c r="I443" i="8"/>
  <c r="I444" i="8"/>
  <c r="I445" i="8"/>
  <c r="I446" i="8"/>
  <c r="I447" i="8"/>
  <c r="I448" i="8"/>
  <c r="I449" i="8"/>
  <c r="I450" i="8"/>
  <c r="I451" i="8"/>
  <c r="I452" i="8"/>
  <c r="I453" i="8"/>
  <c r="I454" i="8"/>
  <c r="I455" i="8"/>
  <c r="I456" i="8"/>
  <c r="I457" i="8"/>
  <c r="I458" i="8"/>
  <c r="I459" i="8"/>
  <c r="I460" i="8"/>
  <c r="I461" i="8"/>
  <c r="I462" i="8"/>
  <c r="I463" i="8"/>
  <c r="I464" i="8"/>
  <c r="I465" i="8"/>
  <c r="I466" i="8"/>
  <c r="I467" i="8"/>
  <c r="I468" i="8"/>
  <c r="I469" i="8"/>
  <c r="I470" i="8"/>
  <c r="I471" i="8"/>
  <c r="I472" i="8"/>
  <c r="I473" i="8"/>
  <c r="I474" i="8"/>
  <c r="I475" i="8"/>
  <c r="I476" i="8"/>
  <c r="I477" i="8"/>
  <c r="I478" i="8"/>
  <c r="I479" i="8"/>
  <c r="I480" i="8"/>
  <c r="I481" i="8"/>
  <c r="I482" i="8"/>
  <c r="I483" i="8"/>
  <c r="I484" i="8"/>
  <c r="I485" i="8"/>
  <c r="I486" i="8"/>
  <c r="I487" i="8"/>
  <c r="I488" i="8"/>
  <c r="I489" i="8"/>
  <c r="I490" i="8"/>
  <c r="I491" i="8"/>
  <c r="I492" i="8"/>
  <c r="I493" i="8"/>
  <c r="I494" i="8"/>
  <c r="I495" i="8"/>
  <c r="I496" i="8"/>
  <c r="I497" i="8"/>
  <c r="I498" i="8"/>
  <c r="I499" i="8"/>
  <c r="I500" i="8"/>
  <c r="I501" i="8"/>
  <c r="I502" i="8"/>
  <c r="I503" i="8"/>
  <c r="I504" i="8"/>
  <c r="I505" i="8"/>
  <c r="I506" i="8"/>
  <c r="I507" i="8"/>
  <c r="I508" i="8"/>
  <c r="I509" i="8"/>
  <c r="I510" i="8"/>
  <c r="I511" i="8"/>
  <c r="I512" i="8"/>
  <c r="I513" i="8"/>
  <c r="I514" i="8"/>
  <c r="I515" i="8"/>
  <c r="I516" i="8"/>
  <c r="I517" i="8"/>
  <c r="I518" i="8"/>
  <c r="I519" i="8"/>
  <c r="I520" i="8"/>
  <c r="I521" i="8"/>
  <c r="I522" i="8"/>
  <c r="I523" i="8"/>
  <c r="I524" i="8"/>
  <c r="I525" i="8"/>
  <c r="I526" i="8"/>
  <c r="I527" i="8"/>
  <c r="I528" i="8"/>
  <c r="I529" i="8"/>
  <c r="I530" i="8"/>
  <c r="I531" i="8"/>
  <c r="I532" i="8"/>
  <c r="I533" i="8"/>
  <c r="I534" i="8"/>
  <c r="I535" i="8"/>
  <c r="I536" i="8"/>
  <c r="I537" i="8"/>
  <c r="I538" i="8"/>
  <c r="I539" i="8"/>
  <c r="I540" i="8"/>
  <c r="I541" i="8"/>
  <c r="I542" i="8"/>
  <c r="I543" i="8"/>
  <c r="I544" i="8"/>
  <c r="I545" i="8"/>
  <c r="I546" i="8"/>
  <c r="I547" i="8"/>
  <c r="I548" i="8"/>
  <c r="I549" i="8"/>
  <c r="I550" i="8"/>
  <c r="I551" i="8"/>
  <c r="I552" i="8"/>
  <c r="I553" i="8"/>
  <c r="I554" i="8"/>
  <c r="I555" i="8"/>
  <c r="I556" i="8"/>
  <c r="I557" i="8"/>
  <c r="I558" i="8"/>
  <c r="I559" i="8"/>
  <c r="I560" i="8"/>
  <c r="I561" i="8"/>
  <c r="I562" i="8"/>
  <c r="I563" i="8"/>
  <c r="I564" i="8"/>
  <c r="I565" i="8"/>
  <c r="I566" i="8"/>
  <c r="I567" i="8"/>
  <c r="I568" i="8"/>
  <c r="I569" i="8"/>
  <c r="I570" i="8"/>
  <c r="I571" i="8"/>
  <c r="I572" i="8"/>
  <c r="I573" i="8"/>
  <c r="I574" i="8"/>
  <c r="I575" i="8"/>
  <c r="I576" i="8"/>
  <c r="I577" i="8"/>
  <c r="I578" i="8"/>
  <c r="I579" i="8"/>
  <c r="I580" i="8"/>
  <c r="I581" i="8"/>
  <c r="I582" i="8"/>
  <c r="I583" i="8"/>
  <c r="I584" i="8"/>
  <c r="I585" i="8"/>
  <c r="I586" i="8"/>
  <c r="I587" i="8"/>
  <c r="I588" i="8"/>
  <c r="I589" i="8"/>
  <c r="I590" i="8"/>
  <c r="I591" i="8"/>
  <c r="I592" i="8"/>
  <c r="I593" i="8"/>
  <c r="I594" i="8"/>
  <c r="I595" i="8"/>
  <c r="I596" i="8"/>
  <c r="I597" i="8"/>
  <c r="I598" i="8"/>
  <c r="I599" i="8"/>
  <c r="I600" i="8"/>
  <c r="I601" i="8"/>
  <c r="I602" i="8"/>
  <c r="I603" i="8"/>
  <c r="I604" i="8"/>
  <c r="I605" i="8"/>
  <c r="I606" i="8"/>
  <c r="I607" i="8"/>
  <c r="I608" i="8"/>
  <c r="I609" i="8"/>
  <c r="I610" i="8"/>
  <c r="I611" i="8"/>
  <c r="I612" i="8"/>
  <c r="I613" i="8"/>
  <c r="I614" i="8"/>
  <c r="I615" i="8"/>
  <c r="I616" i="8"/>
  <c r="I617" i="8"/>
  <c r="I618" i="8"/>
  <c r="I619" i="8"/>
  <c r="I620" i="8"/>
  <c r="I621" i="8"/>
  <c r="I622" i="8"/>
  <c r="I623" i="8"/>
  <c r="I624" i="8"/>
  <c r="I625" i="8"/>
  <c r="I626" i="8"/>
  <c r="I627" i="8"/>
  <c r="I628" i="8"/>
  <c r="I629" i="8"/>
  <c r="I630" i="8"/>
  <c r="I631" i="8"/>
  <c r="I632" i="8"/>
  <c r="I633" i="8"/>
  <c r="I634" i="8"/>
  <c r="I635" i="8"/>
  <c r="I636" i="8"/>
  <c r="I637" i="8"/>
  <c r="I638" i="8"/>
  <c r="I639" i="8"/>
  <c r="I640" i="8"/>
  <c r="I641" i="8"/>
  <c r="I642" i="8"/>
  <c r="I643" i="8"/>
  <c r="I644" i="8"/>
  <c r="I645" i="8"/>
  <c r="I646" i="8"/>
  <c r="I647" i="8"/>
  <c r="I648" i="8"/>
  <c r="I649" i="8"/>
  <c r="I650" i="8"/>
  <c r="I651" i="8"/>
  <c r="I652" i="8"/>
  <c r="I653" i="8"/>
  <c r="I654" i="8"/>
  <c r="I655" i="8"/>
  <c r="I656" i="8"/>
  <c r="I657" i="8"/>
  <c r="I658" i="8"/>
  <c r="I659" i="8"/>
  <c r="I660" i="8"/>
  <c r="I661" i="8"/>
  <c r="I662" i="8"/>
  <c r="I663" i="8"/>
  <c r="I664" i="8"/>
  <c r="I665" i="8"/>
  <c r="I666" i="8"/>
  <c r="I667" i="8"/>
  <c r="I668" i="8"/>
  <c r="I669" i="8"/>
  <c r="I670" i="8"/>
  <c r="I671" i="8"/>
  <c r="I672" i="8"/>
  <c r="I673" i="8"/>
  <c r="I674" i="8"/>
  <c r="I675" i="8"/>
  <c r="I676" i="8"/>
  <c r="I677" i="8"/>
  <c r="I678" i="8"/>
  <c r="I679" i="8"/>
  <c r="I680" i="8"/>
  <c r="I681" i="8"/>
  <c r="I682" i="8"/>
  <c r="I683" i="8"/>
  <c r="I684" i="8"/>
  <c r="I685" i="8"/>
  <c r="I686" i="8"/>
  <c r="I687" i="8"/>
  <c r="I688" i="8"/>
  <c r="I689" i="8"/>
  <c r="I690" i="8"/>
  <c r="I691" i="8"/>
  <c r="I692" i="8"/>
  <c r="I693" i="8"/>
  <c r="I694" i="8"/>
  <c r="I695" i="8"/>
  <c r="I696" i="8"/>
  <c r="I697" i="8"/>
  <c r="I698" i="8"/>
  <c r="I699" i="8"/>
  <c r="I700" i="8"/>
  <c r="I701" i="8"/>
  <c r="I702" i="8"/>
  <c r="I703" i="8"/>
  <c r="I704" i="8"/>
  <c r="I705" i="8"/>
  <c r="I706" i="8"/>
  <c r="I707" i="8"/>
  <c r="I708" i="8"/>
  <c r="I709" i="8"/>
  <c r="I710" i="8"/>
  <c r="I711" i="8"/>
  <c r="I712" i="8"/>
  <c r="I713" i="8"/>
  <c r="I714" i="8"/>
  <c r="I715" i="8"/>
  <c r="I716" i="8"/>
  <c r="I717" i="8"/>
  <c r="I718" i="8"/>
  <c r="I719" i="8"/>
  <c r="I720" i="8"/>
  <c r="I721" i="8"/>
  <c r="I722" i="8"/>
  <c r="I723" i="8"/>
  <c r="I724" i="8"/>
  <c r="I725" i="8"/>
  <c r="I726" i="8"/>
  <c r="I727" i="8"/>
  <c r="I728" i="8"/>
  <c r="I729" i="8"/>
  <c r="I730" i="8"/>
  <c r="I731" i="8"/>
  <c r="I732" i="8"/>
  <c r="I733" i="8"/>
  <c r="I734" i="8"/>
  <c r="I735" i="8"/>
  <c r="I736" i="8"/>
  <c r="I737" i="8"/>
  <c r="I738" i="8"/>
  <c r="I739" i="8"/>
  <c r="I740" i="8"/>
  <c r="I741" i="8"/>
  <c r="I742" i="8"/>
  <c r="I743" i="8"/>
  <c r="I744" i="8"/>
  <c r="I745" i="8"/>
  <c r="I746" i="8"/>
  <c r="I747" i="8"/>
  <c r="I748" i="8"/>
  <c r="I749" i="8"/>
  <c r="I750" i="8"/>
  <c r="I751" i="8"/>
  <c r="I752" i="8"/>
  <c r="I753" i="8"/>
  <c r="I754" i="8"/>
  <c r="I755" i="8"/>
  <c r="I756" i="8"/>
  <c r="I757" i="8"/>
  <c r="I758" i="8"/>
  <c r="I759" i="8"/>
  <c r="I760" i="8"/>
  <c r="I761" i="8"/>
  <c r="I762" i="8"/>
  <c r="I763" i="8"/>
  <c r="I764" i="8"/>
  <c r="I765" i="8"/>
  <c r="I766" i="8"/>
  <c r="I767" i="8"/>
  <c r="I768" i="8"/>
  <c r="I769" i="8"/>
  <c r="I770" i="8"/>
  <c r="I771" i="8"/>
  <c r="I772" i="8"/>
  <c r="I773" i="8"/>
  <c r="I774" i="8"/>
  <c r="I775" i="8"/>
  <c r="I776" i="8"/>
  <c r="I777" i="8"/>
  <c r="I778" i="8"/>
  <c r="I779" i="8"/>
  <c r="I780" i="8"/>
  <c r="I781" i="8"/>
  <c r="I782" i="8"/>
  <c r="I783" i="8"/>
  <c r="I784" i="8"/>
  <c r="I785" i="8"/>
  <c r="I786" i="8"/>
  <c r="I787" i="8"/>
  <c r="I788" i="8"/>
  <c r="I789" i="8"/>
  <c r="I790" i="8"/>
  <c r="I791" i="8"/>
  <c r="I792" i="8"/>
  <c r="I793" i="8"/>
  <c r="I794" i="8"/>
  <c r="I795" i="8"/>
  <c r="I796" i="8"/>
  <c r="I797" i="8"/>
  <c r="I798" i="8"/>
  <c r="I799" i="8"/>
  <c r="I800" i="8"/>
  <c r="I801" i="8"/>
  <c r="I802" i="8"/>
  <c r="I803" i="8"/>
  <c r="I804" i="8"/>
  <c r="I805" i="8"/>
  <c r="I806" i="8"/>
  <c r="I807" i="8"/>
  <c r="I808" i="8"/>
  <c r="I809" i="8"/>
  <c r="I810" i="8"/>
  <c r="I811" i="8"/>
  <c r="I812" i="8"/>
  <c r="I813" i="8"/>
  <c r="I814" i="8"/>
  <c r="I815" i="8"/>
  <c r="I816" i="8"/>
  <c r="I817" i="8"/>
  <c r="I818" i="8"/>
  <c r="I819" i="8"/>
  <c r="I820" i="8"/>
  <c r="I821" i="8"/>
  <c r="I822" i="8"/>
  <c r="I823" i="8"/>
  <c r="I824" i="8"/>
  <c r="I825" i="8"/>
  <c r="I826" i="8"/>
  <c r="I827" i="8"/>
  <c r="I828" i="8"/>
  <c r="I2" i="8"/>
  <c r="C3" i="8"/>
  <c r="C4" i="8"/>
  <c r="C5" i="8"/>
  <c r="C6" i="8"/>
  <c r="H6" i="8" s="1"/>
  <c r="C7" i="8"/>
  <c r="H7" i="8" s="1"/>
  <c r="C8" i="8"/>
  <c r="H8" i="8" s="1"/>
  <c r="C9" i="8"/>
  <c r="H9" i="8" s="1"/>
  <c r="C10" i="8"/>
  <c r="H10" i="8" s="1"/>
  <c r="C11" i="8"/>
  <c r="H11" i="8" s="1"/>
  <c r="C12" i="8"/>
  <c r="H12" i="8" s="1"/>
  <c r="C13" i="8"/>
  <c r="H13" i="8" s="1"/>
  <c r="C14" i="8"/>
  <c r="C15" i="8"/>
  <c r="C16" i="8"/>
  <c r="C17" i="8"/>
  <c r="C18" i="8"/>
  <c r="H18" i="8" s="1"/>
  <c r="C19" i="8"/>
  <c r="H19" i="8" s="1"/>
  <c r="C20" i="8"/>
  <c r="H20" i="8" s="1"/>
  <c r="C21" i="8"/>
  <c r="H21" i="8" s="1"/>
  <c r="C22" i="8"/>
  <c r="H22" i="8" s="1"/>
  <c r="C23" i="8"/>
  <c r="H23" i="8" s="1"/>
  <c r="C24" i="8"/>
  <c r="H24" i="8" s="1"/>
  <c r="C25" i="8"/>
  <c r="H25" i="8" s="1"/>
  <c r="C26" i="8"/>
  <c r="C27" i="8"/>
  <c r="C28" i="8"/>
  <c r="C29" i="8"/>
  <c r="C30" i="8"/>
  <c r="H30" i="8" s="1"/>
  <c r="C31" i="8"/>
  <c r="H31" i="8" s="1"/>
  <c r="C32" i="8"/>
  <c r="C33" i="8"/>
  <c r="C34" i="8"/>
  <c r="H34" i="8" s="1"/>
  <c r="C35" i="8"/>
  <c r="H35" i="8" s="1"/>
  <c r="C36" i="8"/>
  <c r="H36" i="8" s="1"/>
  <c r="C37" i="8"/>
  <c r="H37" i="8" s="1"/>
  <c r="C38" i="8"/>
  <c r="C39" i="8"/>
  <c r="C40" i="8"/>
  <c r="C41" i="8"/>
  <c r="C42" i="8"/>
  <c r="H42" i="8" s="1"/>
  <c r="C43" i="8"/>
  <c r="H43" i="8" s="1"/>
  <c r="C44" i="8"/>
  <c r="C45" i="8"/>
  <c r="C46" i="8"/>
  <c r="C47" i="8"/>
  <c r="C48" i="8"/>
  <c r="H48" i="8" s="1"/>
  <c r="C49" i="8"/>
  <c r="H49" i="8" s="1"/>
  <c r="C50" i="8"/>
  <c r="C51" i="8"/>
  <c r="C52" i="8"/>
  <c r="C53" i="8"/>
  <c r="C54" i="8"/>
  <c r="H54" i="8" s="1"/>
  <c r="C55" i="8"/>
  <c r="H55" i="8" s="1"/>
  <c r="C56" i="8"/>
  <c r="C57" i="8"/>
  <c r="C58" i="8"/>
  <c r="H58" i="8" s="1"/>
  <c r="C59" i="8"/>
  <c r="H59" i="8" s="1"/>
  <c r="C60" i="8"/>
  <c r="H60" i="8" s="1"/>
  <c r="C61" i="8"/>
  <c r="H61" i="8" s="1"/>
  <c r="C62" i="8"/>
  <c r="C63" i="8"/>
  <c r="C64" i="8"/>
  <c r="C65" i="8"/>
  <c r="C66" i="8"/>
  <c r="H66" i="8" s="1"/>
  <c r="C67" i="8"/>
  <c r="H67" i="8" s="1"/>
  <c r="C68" i="8"/>
  <c r="H68" i="8" s="1"/>
  <c r="C69" i="8"/>
  <c r="H69" i="8" s="1"/>
  <c r="C70" i="8"/>
  <c r="H70" i="8" s="1"/>
  <c r="C71" i="8"/>
  <c r="C72" i="8"/>
  <c r="H72" i="8" s="1"/>
  <c r="C73" i="8"/>
  <c r="H73" i="8" s="1"/>
  <c r="C74" i="8"/>
  <c r="C75" i="8"/>
  <c r="C76" i="8"/>
  <c r="C77" i="8"/>
  <c r="C78" i="8"/>
  <c r="H78" i="8" s="1"/>
  <c r="C79" i="8"/>
  <c r="H79" i="8" s="1"/>
  <c r="C80" i="8"/>
  <c r="H80" i="8" s="1"/>
  <c r="C81" i="8"/>
  <c r="H81" i="8" s="1"/>
  <c r="C82" i="8"/>
  <c r="H82" i="8" s="1"/>
  <c r="C83" i="8"/>
  <c r="H83" i="8" s="1"/>
  <c r="C84" i="8"/>
  <c r="H84" i="8" s="1"/>
  <c r="C85" i="8"/>
  <c r="H85" i="8" s="1"/>
  <c r="C86" i="8"/>
  <c r="C87" i="8"/>
  <c r="C88" i="8"/>
  <c r="C89" i="8"/>
  <c r="C90" i="8"/>
  <c r="H90" i="8" s="1"/>
  <c r="C91" i="8"/>
  <c r="H91" i="8" s="1"/>
  <c r="C92" i="8"/>
  <c r="H92" i="8" s="1"/>
  <c r="C93" i="8"/>
  <c r="H93" i="8" s="1"/>
  <c r="C94" i="8"/>
  <c r="H94" i="8" s="1"/>
  <c r="C95" i="8"/>
  <c r="H95" i="8" s="1"/>
  <c r="C96" i="8"/>
  <c r="H96" i="8" s="1"/>
  <c r="C97" i="8"/>
  <c r="H97" i="8" s="1"/>
  <c r="C98" i="8"/>
  <c r="C99" i="8"/>
  <c r="C100" i="8"/>
  <c r="C101" i="8"/>
  <c r="C102" i="8"/>
  <c r="H102" i="8" s="1"/>
  <c r="C103" i="8"/>
  <c r="H103" i="8" s="1"/>
  <c r="C104" i="8"/>
  <c r="C105" i="8"/>
  <c r="C106" i="8"/>
  <c r="H106" i="8" s="1"/>
  <c r="C107" i="8"/>
  <c r="H107" i="8" s="1"/>
  <c r="C108" i="8"/>
  <c r="H108" i="8" s="1"/>
  <c r="C109" i="8"/>
  <c r="H109" i="8" s="1"/>
  <c r="C110" i="8"/>
  <c r="C111" i="8"/>
  <c r="C112" i="8"/>
  <c r="C113" i="8"/>
  <c r="C114" i="8"/>
  <c r="H114" i="8" s="1"/>
  <c r="C115" i="8"/>
  <c r="H115" i="8" s="1"/>
  <c r="C116" i="8"/>
  <c r="C117" i="8"/>
  <c r="C118" i="8"/>
  <c r="C119" i="8"/>
  <c r="H119" i="8" s="1"/>
  <c r="C120" i="8"/>
  <c r="H120" i="8" s="1"/>
  <c r="C121" i="8"/>
  <c r="H121" i="8" s="1"/>
  <c r="C122" i="8"/>
  <c r="C123" i="8"/>
  <c r="C124" i="8"/>
  <c r="C125" i="8"/>
  <c r="C126" i="8"/>
  <c r="H126" i="8" s="1"/>
  <c r="C127" i="8"/>
  <c r="H127" i="8" s="1"/>
  <c r="C128" i="8"/>
  <c r="C129" i="8"/>
  <c r="C130" i="8"/>
  <c r="C131" i="8"/>
  <c r="C132" i="8"/>
  <c r="C133" i="8"/>
  <c r="C134" i="8"/>
  <c r="C135" i="8"/>
  <c r="C136" i="8"/>
  <c r="C137" i="8"/>
  <c r="C138" i="8"/>
  <c r="H138" i="8" s="1"/>
  <c r="C139" i="8"/>
  <c r="H139" i="8" s="1"/>
  <c r="C140" i="8"/>
  <c r="H140" i="8" s="1"/>
  <c r="C141" i="8"/>
  <c r="H141" i="8" s="1"/>
  <c r="C142" i="8"/>
  <c r="H142" i="8" s="1"/>
  <c r="C143" i="8"/>
  <c r="H143" i="8" s="1"/>
  <c r="C144" i="8"/>
  <c r="H144" i="8" s="1"/>
  <c r="C145" i="8"/>
  <c r="H145" i="8" s="1"/>
  <c r="C146" i="8"/>
  <c r="C147" i="8"/>
  <c r="C148" i="8"/>
  <c r="C149" i="8"/>
  <c r="C150" i="8"/>
  <c r="H150" i="8" s="1"/>
  <c r="C151" i="8"/>
  <c r="H151" i="8" s="1"/>
  <c r="C152" i="8"/>
  <c r="H152" i="8" s="1"/>
  <c r="C153" i="8"/>
  <c r="H153" i="8" s="1"/>
  <c r="C154" i="8"/>
  <c r="H154" i="8" s="1"/>
  <c r="C155" i="8"/>
  <c r="H155" i="8" s="1"/>
  <c r="C156" i="8"/>
  <c r="H156" i="8" s="1"/>
  <c r="C157" i="8"/>
  <c r="C158" i="8"/>
  <c r="C159" i="8"/>
  <c r="C160" i="8"/>
  <c r="C161" i="8"/>
  <c r="C162" i="8"/>
  <c r="H162" i="8" s="1"/>
  <c r="C163" i="8"/>
  <c r="H163" i="8" s="1"/>
  <c r="C164" i="8"/>
  <c r="H164" i="8" s="1"/>
  <c r="C165" i="8"/>
  <c r="H165" i="8" s="1"/>
  <c r="C166" i="8"/>
  <c r="H166" i="8" s="1"/>
  <c r="C167" i="8"/>
  <c r="H167" i="8" s="1"/>
  <c r="C168" i="8"/>
  <c r="H168" i="8" s="1"/>
  <c r="C169" i="8"/>
  <c r="H169" i="8" s="1"/>
  <c r="C170" i="8"/>
  <c r="C171" i="8"/>
  <c r="C172" i="8"/>
  <c r="C173" i="8"/>
  <c r="C174" i="8"/>
  <c r="H174" i="8" s="1"/>
  <c r="C175" i="8"/>
  <c r="H175" i="8" s="1"/>
  <c r="C176" i="8"/>
  <c r="C177" i="8"/>
  <c r="C178" i="8"/>
  <c r="H178" i="8" s="1"/>
  <c r="C179" i="8"/>
  <c r="H179" i="8" s="1"/>
  <c r="C180" i="8"/>
  <c r="H180" i="8" s="1"/>
  <c r="C181" i="8"/>
  <c r="H181" i="8" s="1"/>
  <c r="C182" i="8"/>
  <c r="C183" i="8"/>
  <c r="C184" i="8"/>
  <c r="C185" i="8"/>
  <c r="C186" i="8"/>
  <c r="H186" i="8" s="1"/>
  <c r="C187" i="8"/>
  <c r="H187" i="8" s="1"/>
  <c r="C188" i="8"/>
  <c r="C189" i="8"/>
  <c r="C190" i="8"/>
  <c r="H190" i="8" s="1"/>
  <c r="C191" i="8"/>
  <c r="H191" i="8" s="1"/>
  <c r="C192" i="8"/>
  <c r="H192" i="8" s="1"/>
  <c r="C193" i="8"/>
  <c r="H193" i="8" s="1"/>
  <c r="C194" i="8"/>
  <c r="C195" i="8"/>
  <c r="C196" i="8"/>
  <c r="C197" i="8"/>
  <c r="C198" i="8"/>
  <c r="H198" i="8" s="1"/>
  <c r="C199" i="8"/>
  <c r="H199" i="8" s="1"/>
  <c r="C200" i="8"/>
  <c r="C201" i="8"/>
  <c r="C202" i="8"/>
  <c r="C203" i="8"/>
  <c r="H203" i="8" s="1"/>
  <c r="C204" i="8"/>
  <c r="H204" i="8" s="1"/>
  <c r="C205" i="8"/>
  <c r="H205" i="8" s="1"/>
  <c r="C206" i="8"/>
  <c r="C207" i="8"/>
  <c r="C208" i="8"/>
  <c r="C209" i="8"/>
  <c r="C210" i="8"/>
  <c r="H210" i="8" s="1"/>
  <c r="C211" i="8"/>
  <c r="H211" i="8" s="1"/>
  <c r="C212" i="8"/>
  <c r="H212" i="8" s="1"/>
  <c r="C213" i="8"/>
  <c r="H213" i="8" s="1"/>
  <c r="C214" i="8"/>
  <c r="H214" i="8" s="1"/>
  <c r="C215" i="8"/>
  <c r="H215" i="8" s="1"/>
  <c r="C216" i="8"/>
  <c r="H216" i="8" s="1"/>
  <c r="C217" i="8"/>
  <c r="H217" i="8" s="1"/>
  <c r="C218" i="8"/>
  <c r="C219" i="8"/>
  <c r="C220" i="8"/>
  <c r="C221" i="8"/>
  <c r="C222" i="8"/>
  <c r="H222" i="8" s="1"/>
  <c r="C223" i="8"/>
  <c r="H223" i="8" s="1"/>
  <c r="C224" i="8"/>
  <c r="H224" i="8" s="1"/>
  <c r="C225" i="8"/>
  <c r="H225" i="8" s="1"/>
  <c r="C226" i="8"/>
  <c r="H226" i="8" s="1"/>
  <c r="C227" i="8"/>
  <c r="H227" i="8" s="1"/>
  <c r="C228" i="8"/>
  <c r="H228" i="8" s="1"/>
  <c r="C229" i="8"/>
  <c r="H229" i="8" s="1"/>
  <c r="C230" i="8"/>
  <c r="C231" i="8"/>
  <c r="C232" i="8"/>
  <c r="C233" i="8"/>
  <c r="C234" i="8"/>
  <c r="H234" i="8" s="1"/>
  <c r="C235" i="8"/>
  <c r="H235" i="8" s="1"/>
  <c r="C236" i="8"/>
  <c r="H236" i="8" s="1"/>
  <c r="C237" i="8"/>
  <c r="H237" i="8" s="1"/>
  <c r="C238" i="8"/>
  <c r="H238" i="8" s="1"/>
  <c r="C239" i="8"/>
  <c r="H239" i="8" s="1"/>
  <c r="C240" i="8"/>
  <c r="H240" i="8" s="1"/>
  <c r="C241" i="8"/>
  <c r="H241" i="8" s="1"/>
  <c r="C242" i="8"/>
  <c r="C243" i="8"/>
  <c r="C244" i="8"/>
  <c r="C245" i="8"/>
  <c r="C246" i="8"/>
  <c r="H246" i="8" s="1"/>
  <c r="C247" i="8"/>
  <c r="H247" i="8" s="1"/>
  <c r="C248" i="8"/>
  <c r="C249" i="8"/>
  <c r="C250" i="8"/>
  <c r="H250" i="8" s="1"/>
  <c r="C251" i="8"/>
  <c r="H251" i="8" s="1"/>
  <c r="C252" i="8"/>
  <c r="H252" i="8" s="1"/>
  <c r="C253" i="8"/>
  <c r="H253" i="8" s="1"/>
  <c r="C254" i="8"/>
  <c r="C255" i="8"/>
  <c r="C256" i="8"/>
  <c r="C257" i="8"/>
  <c r="C258" i="8"/>
  <c r="H258" i="8" s="1"/>
  <c r="C259" i="8"/>
  <c r="H259" i="8" s="1"/>
  <c r="C260" i="8"/>
  <c r="C261" i="8"/>
  <c r="C262" i="8"/>
  <c r="C263" i="8"/>
  <c r="C264" i="8"/>
  <c r="H264" i="8" s="1"/>
  <c r="C265" i="8"/>
  <c r="H265" i="8" s="1"/>
  <c r="C266" i="8"/>
  <c r="C267" i="8"/>
  <c r="C268" i="8"/>
  <c r="C269" i="8"/>
  <c r="C270" i="8"/>
  <c r="H270" i="8" s="1"/>
  <c r="C271" i="8"/>
  <c r="H271" i="8" s="1"/>
  <c r="C272" i="8"/>
  <c r="C273" i="8"/>
  <c r="C274" i="8"/>
  <c r="H274" i="8" s="1"/>
  <c r="C275" i="8"/>
  <c r="H275" i="8" s="1"/>
  <c r="C276" i="8"/>
  <c r="H276" i="8" s="1"/>
  <c r="C277" i="8"/>
  <c r="H277" i="8" s="1"/>
  <c r="C278" i="8"/>
  <c r="C279" i="8"/>
  <c r="C280" i="8"/>
  <c r="C281" i="8"/>
  <c r="C282" i="8"/>
  <c r="H282" i="8" s="1"/>
  <c r="C283" i="8"/>
  <c r="H283" i="8" s="1"/>
  <c r="C284" i="8"/>
  <c r="H284" i="8" s="1"/>
  <c r="C285" i="8"/>
  <c r="H285" i="8" s="1"/>
  <c r="C286" i="8"/>
  <c r="H286" i="8" s="1"/>
  <c r="C287" i="8"/>
  <c r="C288" i="8"/>
  <c r="H288" i="8" s="1"/>
  <c r="C289" i="8"/>
  <c r="H289" i="8" s="1"/>
  <c r="C290" i="8"/>
  <c r="C291" i="8"/>
  <c r="C292" i="8"/>
  <c r="C293" i="8"/>
  <c r="C294" i="8"/>
  <c r="H294" i="8" s="1"/>
  <c r="C295" i="8"/>
  <c r="H295" i="8" s="1"/>
  <c r="C296" i="8"/>
  <c r="H296" i="8" s="1"/>
  <c r="C297" i="8"/>
  <c r="H297" i="8" s="1"/>
  <c r="C298" i="8"/>
  <c r="H298" i="8" s="1"/>
  <c r="C299" i="8"/>
  <c r="H299" i="8" s="1"/>
  <c r="C300" i="8"/>
  <c r="H300" i="8" s="1"/>
  <c r="C301" i="8"/>
  <c r="H301" i="8" s="1"/>
  <c r="C302" i="8"/>
  <c r="C303" i="8"/>
  <c r="C304" i="8"/>
  <c r="C305" i="8"/>
  <c r="C306" i="8"/>
  <c r="H306" i="8" s="1"/>
  <c r="C307" i="8"/>
  <c r="H307" i="8" s="1"/>
  <c r="C308" i="8"/>
  <c r="H308" i="8" s="1"/>
  <c r="C309" i="8"/>
  <c r="H309" i="8" s="1"/>
  <c r="C310" i="8"/>
  <c r="H310" i="8" s="1"/>
  <c r="C311" i="8"/>
  <c r="H311" i="8" s="1"/>
  <c r="C312" i="8"/>
  <c r="H312" i="8" s="1"/>
  <c r="C313" i="8"/>
  <c r="H313" i="8" s="1"/>
  <c r="C314" i="8"/>
  <c r="C315" i="8"/>
  <c r="C316" i="8"/>
  <c r="C317" i="8"/>
  <c r="C318" i="8"/>
  <c r="H318" i="8" s="1"/>
  <c r="C319" i="8"/>
  <c r="H319" i="8" s="1"/>
  <c r="C320" i="8"/>
  <c r="C321" i="8"/>
  <c r="C322" i="8"/>
  <c r="H322" i="8" s="1"/>
  <c r="C323" i="8"/>
  <c r="H323" i="8" s="1"/>
  <c r="C324" i="8"/>
  <c r="H324" i="8" s="1"/>
  <c r="C325" i="8"/>
  <c r="H325" i="8" s="1"/>
  <c r="C326" i="8"/>
  <c r="C327" i="8"/>
  <c r="C328" i="8"/>
  <c r="C329" i="8"/>
  <c r="C330" i="8"/>
  <c r="H330" i="8" s="1"/>
  <c r="C331" i="8"/>
  <c r="H331" i="8" s="1"/>
  <c r="C332" i="8"/>
  <c r="C333" i="8"/>
  <c r="C334" i="8"/>
  <c r="C335" i="8"/>
  <c r="H335" i="8" s="1"/>
  <c r="C336" i="8"/>
  <c r="H336" i="8" s="1"/>
  <c r="C337" i="8"/>
  <c r="H337" i="8" s="1"/>
  <c r="C338" i="8"/>
  <c r="C339" i="8"/>
  <c r="C340" i="8"/>
  <c r="C341" i="8"/>
  <c r="C342" i="8"/>
  <c r="H342" i="8" s="1"/>
  <c r="C343" i="8"/>
  <c r="H343" i="8" s="1"/>
  <c r="C344" i="8"/>
  <c r="C345" i="8"/>
  <c r="C346" i="8"/>
  <c r="C347" i="8"/>
  <c r="C348" i="8"/>
  <c r="C349" i="8"/>
  <c r="C350" i="8"/>
  <c r="C351" i="8"/>
  <c r="C352" i="8"/>
  <c r="C353" i="8"/>
  <c r="C354" i="8"/>
  <c r="H354" i="8" s="1"/>
  <c r="C355" i="8"/>
  <c r="H355" i="8" s="1"/>
  <c r="C356" i="8"/>
  <c r="H356" i="8" s="1"/>
  <c r="C357" i="8"/>
  <c r="H357" i="8" s="1"/>
  <c r="C358" i="8"/>
  <c r="H358" i="8" s="1"/>
  <c r="C359" i="8"/>
  <c r="H359" i="8" s="1"/>
  <c r="C360" i="8"/>
  <c r="H360" i="8" s="1"/>
  <c r="C361" i="8"/>
  <c r="H361" i="8" s="1"/>
  <c r="C362" i="8"/>
  <c r="C363" i="8"/>
  <c r="C364" i="8"/>
  <c r="C365" i="8"/>
  <c r="C366" i="8"/>
  <c r="H366" i="8" s="1"/>
  <c r="C367" i="8"/>
  <c r="H367" i="8" s="1"/>
  <c r="C368" i="8"/>
  <c r="H368" i="8" s="1"/>
  <c r="C369" i="8"/>
  <c r="H369" i="8" s="1"/>
  <c r="C370" i="8"/>
  <c r="H370" i="8" s="1"/>
  <c r="C371" i="8"/>
  <c r="H371" i="8" s="1"/>
  <c r="C372" i="8"/>
  <c r="H372" i="8" s="1"/>
  <c r="C373" i="8"/>
  <c r="C374" i="8"/>
  <c r="C375" i="8"/>
  <c r="C376" i="8"/>
  <c r="C377" i="8"/>
  <c r="C378" i="8"/>
  <c r="H378" i="8" s="1"/>
  <c r="C379" i="8"/>
  <c r="H379" i="8" s="1"/>
  <c r="C380" i="8"/>
  <c r="H380" i="8" s="1"/>
  <c r="C381" i="8"/>
  <c r="H381" i="8" s="1"/>
  <c r="C382" i="8"/>
  <c r="H382" i="8" s="1"/>
  <c r="C383" i="8"/>
  <c r="H383" i="8" s="1"/>
  <c r="C384" i="8"/>
  <c r="H384" i="8" s="1"/>
  <c r="C385" i="8"/>
  <c r="H385" i="8" s="1"/>
  <c r="C386" i="8"/>
  <c r="C387" i="8"/>
  <c r="C388" i="8"/>
  <c r="C389" i="8"/>
  <c r="C390" i="8"/>
  <c r="H390" i="8" s="1"/>
  <c r="C391" i="8"/>
  <c r="C392" i="8"/>
  <c r="C393" i="8"/>
  <c r="H393" i="8" s="1"/>
  <c r="C394" i="8"/>
  <c r="H394" i="8" s="1"/>
  <c r="C395" i="8"/>
  <c r="H395" i="8" s="1"/>
  <c r="C396" i="8"/>
  <c r="H396" i="8" s="1"/>
  <c r="C397" i="8"/>
  <c r="H397" i="8" s="1"/>
  <c r="C398" i="8"/>
  <c r="C399" i="8"/>
  <c r="C400" i="8"/>
  <c r="C401" i="8"/>
  <c r="C402" i="8"/>
  <c r="H402" i="8" s="1"/>
  <c r="C403" i="8"/>
  <c r="H403" i="8" s="1"/>
  <c r="C404" i="8"/>
  <c r="C405" i="8"/>
  <c r="C406" i="8"/>
  <c r="H406" i="8" s="1"/>
  <c r="C407" i="8"/>
  <c r="H407" i="8" s="1"/>
  <c r="C408" i="8"/>
  <c r="H408" i="8" s="1"/>
  <c r="C409" i="8"/>
  <c r="H409" i="8" s="1"/>
  <c r="C410" i="8"/>
  <c r="C411" i="8"/>
  <c r="C412" i="8"/>
  <c r="C413" i="8"/>
  <c r="C414" i="8"/>
  <c r="H414" i="8" s="1"/>
  <c r="C415" i="8"/>
  <c r="C416" i="8"/>
  <c r="C417" i="8"/>
  <c r="C418" i="8"/>
  <c r="C419" i="8"/>
  <c r="H419" i="8" s="1"/>
  <c r="C420" i="8"/>
  <c r="H420" i="8" s="1"/>
  <c r="C421" i="8"/>
  <c r="H421" i="8" s="1"/>
  <c r="C422" i="8"/>
  <c r="C423" i="8"/>
  <c r="C424" i="8"/>
  <c r="C425" i="8"/>
  <c r="C426" i="8"/>
  <c r="H426" i="8" s="1"/>
  <c r="C427" i="8"/>
  <c r="C428" i="8"/>
  <c r="C429" i="8"/>
  <c r="C430" i="8"/>
  <c r="C431" i="8"/>
  <c r="C432" i="8"/>
  <c r="C433" i="8"/>
  <c r="H433" i="8" s="1"/>
  <c r="C434" i="8"/>
  <c r="C435" i="8"/>
  <c r="C436" i="8"/>
  <c r="C437" i="8"/>
  <c r="C438" i="8"/>
  <c r="H438" i="8" s="1"/>
  <c r="C439" i="8"/>
  <c r="C440" i="8"/>
  <c r="C441" i="8"/>
  <c r="C442" i="8"/>
  <c r="H442" i="8" s="1"/>
  <c r="C443" i="8"/>
  <c r="H443" i="8" s="1"/>
  <c r="C444" i="8"/>
  <c r="H444" i="8" s="1"/>
  <c r="C445" i="8"/>
  <c r="H445" i="8" s="1"/>
  <c r="C446" i="8"/>
  <c r="C447" i="8"/>
  <c r="C448" i="8"/>
  <c r="C449" i="8"/>
  <c r="C450" i="8"/>
  <c r="H450" i="8" s="1"/>
  <c r="C451" i="8"/>
  <c r="C452" i="8"/>
  <c r="C453" i="8"/>
  <c r="C454" i="8"/>
  <c r="H454" i="8" s="1"/>
  <c r="C455" i="8"/>
  <c r="H455" i="8" s="1"/>
  <c r="C456" i="8"/>
  <c r="H456" i="8" s="1"/>
  <c r="C457" i="8"/>
  <c r="H457" i="8" s="1"/>
  <c r="C458" i="8"/>
  <c r="C459" i="8"/>
  <c r="C460" i="8"/>
  <c r="C461" i="8"/>
  <c r="C462" i="8"/>
  <c r="H462" i="8" s="1"/>
  <c r="C463" i="8"/>
  <c r="C464" i="8"/>
  <c r="H464" i="8" s="1"/>
  <c r="C465" i="8"/>
  <c r="H465" i="8" s="1"/>
  <c r="C466" i="8"/>
  <c r="H466" i="8" s="1"/>
  <c r="C467" i="8"/>
  <c r="H467" i="8" s="1"/>
  <c r="C468" i="8"/>
  <c r="H468" i="8" s="1"/>
  <c r="C469" i="8"/>
  <c r="H469" i="8" s="1"/>
  <c r="C470" i="8"/>
  <c r="C471" i="8"/>
  <c r="C472" i="8"/>
  <c r="C473" i="8"/>
  <c r="C474" i="8"/>
  <c r="H474" i="8" s="1"/>
  <c r="C475" i="8"/>
  <c r="C476" i="8"/>
  <c r="H476" i="8" s="1"/>
  <c r="C477" i="8"/>
  <c r="H477" i="8" s="1"/>
  <c r="C478" i="8"/>
  <c r="H478" i="8" s="1"/>
  <c r="C479" i="8"/>
  <c r="H479" i="8" s="1"/>
  <c r="C480" i="8"/>
  <c r="C481" i="8"/>
  <c r="C482" i="8"/>
  <c r="C483" i="8"/>
  <c r="C484" i="8"/>
  <c r="C485" i="8"/>
  <c r="C486" i="8"/>
  <c r="H486" i="8" s="1"/>
  <c r="C487" i="8"/>
  <c r="H487" i="8" s="1"/>
  <c r="C488" i="8"/>
  <c r="H488" i="8" s="1"/>
  <c r="C489" i="8"/>
  <c r="H489" i="8" s="1"/>
  <c r="C490" i="8"/>
  <c r="H490" i="8" s="1"/>
  <c r="C491" i="8"/>
  <c r="H491" i="8" s="1"/>
  <c r="C492" i="8"/>
  <c r="H492" i="8" s="1"/>
  <c r="C493" i="8"/>
  <c r="H493" i="8" s="1"/>
  <c r="C494" i="8"/>
  <c r="C495" i="8"/>
  <c r="C496" i="8"/>
  <c r="C497" i="8"/>
  <c r="C498" i="8"/>
  <c r="H498" i="8" s="1"/>
  <c r="C499" i="8"/>
  <c r="H499" i="8" s="1"/>
  <c r="C500" i="8"/>
  <c r="H500" i="8" s="1"/>
  <c r="C501" i="8"/>
  <c r="H501" i="8" s="1"/>
  <c r="C502" i="8"/>
  <c r="H502" i="8" s="1"/>
  <c r="C503" i="8"/>
  <c r="H503" i="8" s="1"/>
  <c r="C504" i="8"/>
  <c r="H504" i="8" s="1"/>
  <c r="C505" i="8"/>
  <c r="H505" i="8" s="1"/>
  <c r="C506" i="8"/>
  <c r="C507" i="8"/>
  <c r="C508" i="8"/>
  <c r="C509" i="8"/>
  <c r="C510" i="8"/>
  <c r="H510" i="8" s="1"/>
  <c r="C511" i="8"/>
  <c r="C512" i="8"/>
  <c r="H512" i="8" s="1"/>
  <c r="C513" i="8"/>
  <c r="H513" i="8" s="1"/>
  <c r="C514" i="8"/>
  <c r="H514" i="8" s="1"/>
  <c r="C515" i="8"/>
  <c r="H515" i="8" s="1"/>
  <c r="C516" i="8"/>
  <c r="H516" i="8" s="1"/>
  <c r="C517" i="8"/>
  <c r="H517" i="8" s="1"/>
  <c r="C518" i="8"/>
  <c r="C519" i="8"/>
  <c r="C520" i="8"/>
  <c r="C521" i="8"/>
  <c r="C522" i="8"/>
  <c r="H522" i="8" s="1"/>
  <c r="C523" i="8"/>
  <c r="C524" i="8"/>
  <c r="C525" i="8"/>
  <c r="H525" i="8" s="1"/>
  <c r="C526" i="8"/>
  <c r="H526" i="8" s="1"/>
  <c r="C527" i="8"/>
  <c r="H527" i="8" s="1"/>
  <c r="C528" i="8"/>
  <c r="H528" i="8" s="1"/>
  <c r="C529" i="8"/>
  <c r="H529" i="8" s="1"/>
  <c r="C530" i="8"/>
  <c r="C531" i="8"/>
  <c r="C532" i="8"/>
  <c r="C533" i="8"/>
  <c r="C534" i="8"/>
  <c r="H534" i="8" s="1"/>
  <c r="C535" i="8"/>
  <c r="C536" i="8"/>
  <c r="C537" i="8"/>
  <c r="C538" i="8"/>
  <c r="H538" i="8" s="1"/>
  <c r="C539" i="8"/>
  <c r="H539" i="8" s="1"/>
  <c r="C540" i="8"/>
  <c r="H540" i="8" s="1"/>
  <c r="C541" i="8"/>
  <c r="H541" i="8" s="1"/>
  <c r="C542" i="8"/>
  <c r="C543" i="8"/>
  <c r="C544" i="8"/>
  <c r="C545" i="8"/>
  <c r="C546" i="8"/>
  <c r="H546" i="8" s="1"/>
  <c r="C547" i="8"/>
  <c r="C548" i="8"/>
  <c r="C549" i="8"/>
  <c r="C550" i="8"/>
  <c r="C551" i="8"/>
  <c r="H551" i="8" s="1"/>
  <c r="C552" i="8"/>
  <c r="H552" i="8" s="1"/>
  <c r="C553" i="8"/>
  <c r="H553" i="8" s="1"/>
  <c r="C554" i="8"/>
  <c r="C555" i="8"/>
  <c r="C556" i="8"/>
  <c r="C557" i="8"/>
  <c r="C558" i="8"/>
  <c r="H558" i="8" s="1"/>
  <c r="C559" i="8"/>
  <c r="C560" i="8"/>
  <c r="C561" i="8"/>
  <c r="C562" i="8"/>
  <c r="H562" i="8" s="1"/>
  <c r="C563" i="8"/>
  <c r="H563" i="8" s="1"/>
  <c r="C564" i="8"/>
  <c r="H564" i="8" s="1"/>
  <c r="C565" i="8"/>
  <c r="H565" i="8" s="1"/>
  <c r="C566" i="8"/>
  <c r="C567" i="8"/>
  <c r="C568" i="8"/>
  <c r="C569" i="8"/>
  <c r="C570" i="8"/>
  <c r="H570" i="8" s="1"/>
  <c r="C571" i="8"/>
  <c r="C572" i="8"/>
  <c r="C573" i="8"/>
  <c r="C574" i="8"/>
  <c r="H574" i="8" s="1"/>
  <c r="C575" i="8"/>
  <c r="H575" i="8" s="1"/>
  <c r="C576" i="8"/>
  <c r="H576" i="8" s="1"/>
  <c r="C577" i="8"/>
  <c r="H577" i="8" s="1"/>
  <c r="C578" i="8"/>
  <c r="C579" i="8"/>
  <c r="C580" i="8"/>
  <c r="C581" i="8"/>
  <c r="C582" i="8"/>
  <c r="H582" i="8" s="1"/>
  <c r="C583" i="8"/>
  <c r="C584" i="8"/>
  <c r="C585" i="8"/>
  <c r="C586" i="8"/>
  <c r="H586" i="8" s="1"/>
  <c r="C587" i="8"/>
  <c r="H587" i="8" s="1"/>
  <c r="C588" i="8"/>
  <c r="H588" i="8" s="1"/>
  <c r="C589" i="8"/>
  <c r="H589" i="8" s="1"/>
  <c r="C590" i="8"/>
  <c r="C591" i="8"/>
  <c r="C592" i="8"/>
  <c r="C593" i="8"/>
  <c r="C594" i="8"/>
  <c r="H594" i="8" s="1"/>
  <c r="C595" i="8"/>
  <c r="C596" i="8"/>
  <c r="C597" i="8"/>
  <c r="C598" i="8"/>
  <c r="H598" i="8" s="1"/>
  <c r="C599" i="8"/>
  <c r="H599" i="8" s="1"/>
  <c r="C600" i="8"/>
  <c r="H600" i="8" s="1"/>
  <c r="C601" i="8"/>
  <c r="H601" i="8" s="1"/>
  <c r="C602" i="8"/>
  <c r="C603" i="8"/>
  <c r="C604" i="8"/>
  <c r="C605" i="8"/>
  <c r="C606" i="8"/>
  <c r="H606" i="8" s="1"/>
  <c r="C607" i="8"/>
  <c r="C608" i="8"/>
  <c r="H608" i="8" s="1"/>
  <c r="C609" i="8"/>
  <c r="H609" i="8" s="1"/>
  <c r="C610" i="8"/>
  <c r="H610" i="8" s="1"/>
  <c r="C611" i="8"/>
  <c r="C612" i="8"/>
  <c r="C613" i="8"/>
  <c r="C614" i="8"/>
  <c r="C615" i="8"/>
  <c r="C616" i="8"/>
  <c r="C617" i="8"/>
  <c r="C618" i="8"/>
  <c r="H618" i="8" s="1"/>
  <c r="C619" i="8"/>
  <c r="C620" i="8"/>
  <c r="H620" i="8" s="1"/>
  <c r="C621" i="8"/>
  <c r="H621" i="8" s="1"/>
  <c r="C622" i="8"/>
  <c r="H622" i="8" s="1"/>
  <c r="C623" i="8"/>
  <c r="H623" i="8" s="1"/>
  <c r="C624" i="8"/>
  <c r="H624" i="8" s="1"/>
  <c r="C625" i="8"/>
  <c r="H625" i="8" s="1"/>
  <c r="C626" i="8"/>
  <c r="C627" i="8"/>
  <c r="C628" i="8"/>
  <c r="C629" i="8"/>
  <c r="C630" i="8"/>
  <c r="H630" i="8" s="1"/>
  <c r="C631" i="8"/>
  <c r="H631" i="8" s="1"/>
  <c r="C632" i="8"/>
  <c r="H632" i="8" s="1"/>
  <c r="C633" i="8"/>
  <c r="H633" i="8" s="1"/>
  <c r="C634" i="8"/>
  <c r="H634" i="8" s="1"/>
  <c r="C635" i="8"/>
  <c r="H635" i="8" s="1"/>
  <c r="C636" i="8"/>
  <c r="H636" i="8" s="1"/>
  <c r="C637" i="8"/>
  <c r="C638" i="8"/>
  <c r="C639" i="8"/>
  <c r="C640" i="8"/>
  <c r="C641" i="8"/>
  <c r="C642" i="8"/>
  <c r="H642" i="8" s="1"/>
  <c r="C643" i="8"/>
  <c r="H643" i="8" s="1"/>
  <c r="C644" i="8"/>
  <c r="H644" i="8" s="1"/>
  <c r="C645" i="8"/>
  <c r="H645" i="8" s="1"/>
  <c r="C646" i="8"/>
  <c r="H646" i="8" s="1"/>
  <c r="C647" i="8"/>
  <c r="H647" i="8" s="1"/>
  <c r="C648" i="8"/>
  <c r="H648" i="8" s="1"/>
  <c r="C649" i="8"/>
  <c r="H649" i="8" s="1"/>
  <c r="C650" i="8"/>
  <c r="C651" i="8"/>
  <c r="C652" i="8"/>
  <c r="C653" i="8"/>
  <c r="C654" i="8"/>
  <c r="H654" i="8" s="1"/>
  <c r="C655" i="8"/>
  <c r="C656" i="8"/>
  <c r="H656" i="8" s="1"/>
  <c r="C657" i="8"/>
  <c r="H657" i="8" s="1"/>
  <c r="C658" i="8"/>
  <c r="H658" i="8" s="1"/>
  <c r="C659" i="8"/>
  <c r="H659" i="8" s="1"/>
  <c r="C660" i="8"/>
  <c r="H660" i="8" s="1"/>
  <c r="C661" i="8"/>
  <c r="H661" i="8" s="1"/>
  <c r="C662" i="8"/>
  <c r="C663" i="8"/>
  <c r="C664" i="8"/>
  <c r="C665" i="8"/>
  <c r="C666" i="8"/>
  <c r="H666" i="8" s="1"/>
  <c r="C667" i="8"/>
  <c r="C668" i="8"/>
  <c r="C669" i="8"/>
  <c r="H669" i="8" s="1"/>
  <c r="C670" i="8"/>
  <c r="H670" i="8" s="1"/>
  <c r="C671" i="8"/>
  <c r="H671" i="8" s="1"/>
  <c r="C672" i="8"/>
  <c r="H672" i="8" s="1"/>
  <c r="C673" i="8"/>
  <c r="H673" i="8" s="1"/>
  <c r="C674" i="8"/>
  <c r="C675" i="8"/>
  <c r="C676" i="8"/>
  <c r="C677" i="8"/>
  <c r="C678" i="8"/>
  <c r="H678" i="8" s="1"/>
  <c r="C679" i="8"/>
  <c r="C680" i="8"/>
  <c r="C681" i="8"/>
  <c r="C682" i="8"/>
  <c r="H682" i="8" s="1"/>
  <c r="C683" i="8"/>
  <c r="H683" i="8" s="1"/>
  <c r="C684" i="8"/>
  <c r="H684" i="8" s="1"/>
  <c r="C685" i="8"/>
  <c r="H685" i="8" s="1"/>
  <c r="C686" i="8"/>
  <c r="C687" i="8"/>
  <c r="C688" i="8"/>
  <c r="C689" i="8"/>
  <c r="C690" i="8"/>
  <c r="H690" i="8" s="1"/>
  <c r="C691" i="8"/>
  <c r="C692" i="8"/>
  <c r="C693" i="8"/>
  <c r="C694" i="8"/>
  <c r="H694" i="8" s="1"/>
  <c r="C695" i="8"/>
  <c r="H695" i="8" s="1"/>
  <c r="C696" i="8"/>
  <c r="H696" i="8" s="1"/>
  <c r="C697" i="8"/>
  <c r="H697" i="8" s="1"/>
  <c r="C698" i="8"/>
  <c r="C699" i="8"/>
  <c r="C700" i="8"/>
  <c r="C701" i="8"/>
  <c r="C702" i="8"/>
  <c r="H702" i="8" s="1"/>
  <c r="C703" i="8"/>
  <c r="C704" i="8"/>
  <c r="C705" i="8"/>
  <c r="C706" i="8"/>
  <c r="H706" i="8" s="1"/>
  <c r="C707" i="8"/>
  <c r="H707" i="8" s="1"/>
  <c r="C708" i="8"/>
  <c r="H708" i="8" s="1"/>
  <c r="C709" i="8"/>
  <c r="H709" i="8" s="1"/>
  <c r="C710" i="8"/>
  <c r="C711" i="8"/>
  <c r="C712" i="8"/>
  <c r="C713" i="8"/>
  <c r="C714" i="8"/>
  <c r="H714" i="8" s="1"/>
  <c r="C715" i="8"/>
  <c r="C716" i="8"/>
  <c r="C717" i="8"/>
  <c r="C718" i="8"/>
  <c r="C719" i="8"/>
  <c r="C720" i="8"/>
  <c r="H720" i="8" s="1"/>
  <c r="C721" i="8"/>
  <c r="H721" i="8" s="1"/>
  <c r="C722" i="8"/>
  <c r="C723" i="8"/>
  <c r="C724" i="8"/>
  <c r="C725" i="8"/>
  <c r="C726" i="8"/>
  <c r="H726" i="8" s="1"/>
  <c r="C727" i="8"/>
  <c r="C728" i="8"/>
  <c r="C729" i="8"/>
  <c r="C730" i="8"/>
  <c r="C731" i="8"/>
  <c r="C732" i="8"/>
  <c r="C733" i="8"/>
  <c r="C734" i="8"/>
  <c r="C735" i="8"/>
  <c r="C736" i="8"/>
  <c r="C737" i="8"/>
  <c r="C738" i="8"/>
  <c r="H738" i="8" s="1"/>
  <c r="C739" i="8"/>
  <c r="C740" i="8"/>
  <c r="C741" i="8"/>
  <c r="C742" i="8"/>
  <c r="C743" i="8"/>
  <c r="C744" i="8"/>
  <c r="C745" i="8"/>
  <c r="C746" i="8"/>
  <c r="C747" i="8"/>
  <c r="C748" i="8"/>
  <c r="C749" i="8"/>
  <c r="C750" i="8"/>
  <c r="H750" i="8" s="1"/>
  <c r="C751" i="8"/>
  <c r="C752" i="8"/>
  <c r="H752" i="8" s="1"/>
  <c r="C753" i="8"/>
  <c r="H753" i="8" s="1"/>
  <c r="C754" i="8"/>
  <c r="H754" i="8" s="1"/>
  <c r="C755" i="8"/>
  <c r="H755" i="8" s="1"/>
  <c r="C756" i="8"/>
  <c r="H756" i="8" s="1"/>
  <c r="C757" i="8"/>
  <c r="H757" i="8" s="1"/>
  <c r="C758" i="8"/>
  <c r="C759" i="8"/>
  <c r="C760" i="8"/>
  <c r="C761" i="8"/>
  <c r="C762" i="8"/>
  <c r="H762" i="8" s="1"/>
  <c r="C763" i="8"/>
  <c r="C764" i="8"/>
  <c r="H764" i="8" s="1"/>
  <c r="C765" i="8"/>
  <c r="H765" i="8" s="1"/>
  <c r="C766" i="8"/>
  <c r="H766" i="8" s="1"/>
  <c r="C767" i="8"/>
  <c r="H767" i="8" s="1"/>
  <c r="C768" i="8"/>
  <c r="H768" i="8" s="1"/>
  <c r="C769" i="8"/>
  <c r="H769" i="8" s="1"/>
  <c r="C770" i="8"/>
  <c r="C771" i="8"/>
  <c r="C772" i="8"/>
  <c r="C773" i="8"/>
  <c r="C774" i="8"/>
  <c r="H774" i="8" s="1"/>
  <c r="C775" i="8"/>
  <c r="H775" i="8" s="1"/>
  <c r="C776" i="8"/>
  <c r="H776" i="8" s="1"/>
  <c r="C777" i="8"/>
  <c r="H777" i="8" s="1"/>
  <c r="C778" i="8"/>
  <c r="H778" i="8" s="1"/>
  <c r="C779" i="8"/>
  <c r="H779" i="8" s="1"/>
  <c r="C780" i="8"/>
  <c r="H780" i="8" s="1"/>
  <c r="C781" i="8"/>
  <c r="H781" i="8" s="1"/>
  <c r="C782" i="8"/>
  <c r="C783" i="8"/>
  <c r="C784" i="8"/>
  <c r="C785" i="8"/>
  <c r="C786" i="8"/>
  <c r="H786" i="8" s="1"/>
  <c r="C787" i="8"/>
  <c r="H787" i="8" s="1"/>
  <c r="C788" i="8"/>
  <c r="H788" i="8" s="1"/>
  <c r="C789" i="8"/>
  <c r="H789" i="8" s="1"/>
  <c r="C790" i="8"/>
  <c r="H790" i="8" s="1"/>
  <c r="C791" i="8"/>
  <c r="H791" i="8" s="1"/>
  <c r="C792" i="8"/>
  <c r="H792" i="8" s="1"/>
  <c r="C793" i="8"/>
  <c r="H793" i="8" s="1"/>
  <c r="C794" i="8"/>
  <c r="C795" i="8"/>
  <c r="C796" i="8"/>
  <c r="C797" i="8"/>
  <c r="C798" i="8"/>
  <c r="H798" i="8" s="1"/>
  <c r="C799" i="8"/>
  <c r="C800" i="8"/>
  <c r="H800" i="8" s="1"/>
  <c r="C801" i="8"/>
  <c r="H801" i="8" s="1"/>
  <c r="C802" i="8"/>
  <c r="H802" i="8" s="1"/>
  <c r="C803" i="8"/>
  <c r="H803" i="8" s="1"/>
  <c r="C804" i="8"/>
  <c r="H804" i="8" s="1"/>
  <c r="C805" i="8"/>
  <c r="H805" i="8" s="1"/>
  <c r="C806" i="8"/>
  <c r="C807" i="8"/>
  <c r="C808" i="8"/>
  <c r="C809" i="8"/>
  <c r="C810" i="8"/>
  <c r="H810" i="8" s="1"/>
  <c r="C811" i="8"/>
  <c r="C812" i="8"/>
  <c r="C813" i="8"/>
  <c r="H813" i="8" s="1"/>
  <c r="C814" i="8"/>
  <c r="H814" i="8" s="1"/>
  <c r="C815" i="8"/>
  <c r="H815" i="8" s="1"/>
  <c r="C816" i="8"/>
  <c r="H816" i="8" s="1"/>
  <c r="C817" i="8"/>
  <c r="H817" i="8" s="1"/>
  <c r="C818" i="8"/>
  <c r="C819" i="8"/>
  <c r="C820" i="8"/>
  <c r="C821" i="8"/>
  <c r="C822" i="8"/>
  <c r="H822" i="8" s="1"/>
  <c r="C823" i="8"/>
  <c r="C824" i="8"/>
  <c r="C825" i="8"/>
  <c r="C826" i="8"/>
  <c r="H826" i="8" s="1"/>
  <c r="C827" i="8"/>
  <c r="H827" i="8" s="1"/>
  <c r="C2" i="8"/>
  <c r="H3" i="8"/>
  <c r="H4" i="8"/>
  <c r="H5" i="8"/>
  <c r="H14" i="8"/>
  <c r="H15" i="8"/>
  <c r="H16" i="8"/>
  <c r="H17" i="8"/>
  <c r="H26" i="8"/>
  <c r="H27" i="8"/>
  <c r="H28" i="8"/>
  <c r="H29" i="8"/>
  <c r="H32" i="8"/>
  <c r="H33" i="8"/>
  <c r="H38" i="8"/>
  <c r="H39" i="8"/>
  <c r="H40" i="8"/>
  <c r="H41" i="8"/>
  <c r="H44" i="8"/>
  <c r="H45" i="8"/>
  <c r="H46" i="8"/>
  <c r="H47" i="8"/>
  <c r="H50" i="8"/>
  <c r="H51" i="8"/>
  <c r="H52" i="8"/>
  <c r="H53" i="8"/>
  <c r="H56" i="8"/>
  <c r="H57" i="8"/>
  <c r="H62" i="8"/>
  <c r="H63" i="8"/>
  <c r="H64" i="8"/>
  <c r="H65" i="8"/>
  <c r="H71" i="8"/>
  <c r="H74" i="8"/>
  <c r="H75" i="8"/>
  <c r="H76" i="8"/>
  <c r="H77" i="8"/>
  <c r="H86" i="8"/>
  <c r="H87" i="8"/>
  <c r="H88" i="8"/>
  <c r="H89" i="8"/>
  <c r="H98" i="8"/>
  <c r="H99" i="8"/>
  <c r="H100" i="8"/>
  <c r="H101" i="8"/>
  <c r="H104" i="8"/>
  <c r="H105" i="8"/>
  <c r="H110" i="8"/>
  <c r="H111" i="8"/>
  <c r="H112" i="8"/>
  <c r="H113" i="8"/>
  <c r="H116" i="8"/>
  <c r="H117" i="8"/>
  <c r="H118" i="8"/>
  <c r="H122" i="8"/>
  <c r="H123" i="8"/>
  <c r="H124" i="8"/>
  <c r="H125" i="8"/>
  <c r="H128" i="8"/>
  <c r="H129" i="8"/>
  <c r="H130" i="8"/>
  <c r="H131" i="8"/>
  <c r="H132" i="8"/>
  <c r="H133" i="8"/>
  <c r="H134" i="8"/>
  <c r="H135" i="8"/>
  <c r="H136" i="8"/>
  <c r="H137" i="8"/>
  <c r="H146" i="8"/>
  <c r="H147" i="8"/>
  <c r="H148" i="8"/>
  <c r="H149" i="8"/>
  <c r="H157" i="8"/>
  <c r="H158" i="8"/>
  <c r="H159" i="8"/>
  <c r="H160" i="8"/>
  <c r="H161" i="8"/>
  <c r="H170" i="8"/>
  <c r="H171" i="8"/>
  <c r="H172" i="8"/>
  <c r="H173" i="8"/>
  <c r="H176" i="8"/>
  <c r="H177" i="8"/>
  <c r="H182" i="8"/>
  <c r="H183" i="8"/>
  <c r="H184" i="8"/>
  <c r="H185" i="8"/>
  <c r="H188" i="8"/>
  <c r="H189" i="8"/>
  <c r="H194" i="8"/>
  <c r="H195" i="8"/>
  <c r="H196" i="8"/>
  <c r="H197" i="8"/>
  <c r="H200" i="8"/>
  <c r="H201" i="8"/>
  <c r="H202" i="8"/>
  <c r="H206" i="8"/>
  <c r="H207" i="8"/>
  <c r="H208" i="8"/>
  <c r="H209" i="8"/>
  <c r="H218" i="8"/>
  <c r="H219" i="8"/>
  <c r="H220" i="8"/>
  <c r="H221" i="8"/>
  <c r="H230" i="8"/>
  <c r="H231" i="8"/>
  <c r="H232" i="8"/>
  <c r="H233" i="8"/>
  <c r="H242" i="8"/>
  <c r="H243" i="8"/>
  <c r="H244" i="8"/>
  <c r="H245" i="8"/>
  <c r="H248" i="8"/>
  <c r="H249" i="8"/>
  <c r="H254" i="8"/>
  <c r="H255" i="8"/>
  <c r="H256" i="8"/>
  <c r="H257" i="8"/>
  <c r="H260" i="8"/>
  <c r="H261" i="8"/>
  <c r="H262" i="8"/>
  <c r="H263" i="8"/>
  <c r="H266" i="8"/>
  <c r="H267" i="8"/>
  <c r="H268" i="8"/>
  <c r="H269" i="8"/>
  <c r="H272" i="8"/>
  <c r="H273" i="8"/>
  <c r="H278" i="8"/>
  <c r="H279" i="8"/>
  <c r="H280" i="8"/>
  <c r="H281" i="8"/>
  <c r="H287" i="8"/>
  <c r="H290" i="8"/>
  <c r="H291" i="8"/>
  <c r="H292" i="8"/>
  <c r="H293" i="8"/>
  <c r="H302" i="8"/>
  <c r="H303" i="8"/>
  <c r="H304" i="8"/>
  <c r="H305" i="8"/>
  <c r="H314" i="8"/>
  <c r="H315" i="8"/>
  <c r="H316" i="8"/>
  <c r="H317" i="8"/>
  <c r="H320" i="8"/>
  <c r="H321" i="8"/>
  <c r="H326" i="8"/>
  <c r="H327" i="8"/>
  <c r="H328" i="8"/>
  <c r="H329" i="8"/>
  <c r="H332" i="8"/>
  <c r="H333" i="8"/>
  <c r="H334" i="8"/>
  <c r="H338" i="8"/>
  <c r="H339" i="8"/>
  <c r="H340" i="8"/>
  <c r="H341" i="8"/>
  <c r="H344" i="8"/>
  <c r="H345" i="8"/>
  <c r="H346" i="8"/>
  <c r="H347" i="8"/>
  <c r="H348" i="8"/>
  <c r="H349" i="8"/>
  <c r="H350" i="8"/>
  <c r="H351" i="8"/>
  <c r="H352" i="8"/>
  <c r="H353" i="8"/>
  <c r="H362" i="8"/>
  <c r="H363" i="8"/>
  <c r="H364" i="8"/>
  <c r="H365" i="8"/>
  <c r="H373" i="8"/>
  <c r="H374" i="8"/>
  <c r="H375" i="8"/>
  <c r="H376" i="8"/>
  <c r="H377" i="8"/>
  <c r="H386" i="8"/>
  <c r="H387" i="8"/>
  <c r="H388" i="8"/>
  <c r="H389" i="8"/>
  <c r="H391" i="8"/>
  <c r="H392" i="8"/>
  <c r="H398" i="8"/>
  <c r="H399" i="8"/>
  <c r="H400" i="8"/>
  <c r="H401" i="8"/>
  <c r="H404" i="8"/>
  <c r="H405" i="8"/>
  <c r="H410" i="8"/>
  <c r="H411" i="8"/>
  <c r="H412" i="8"/>
  <c r="H413" i="8"/>
  <c r="H415" i="8"/>
  <c r="H416" i="8"/>
  <c r="H417" i="8"/>
  <c r="H418" i="8"/>
  <c r="H422" i="8"/>
  <c r="H423" i="8"/>
  <c r="H424" i="8"/>
  <c r="H425" i="8"/>
  <c r="H427" i="8"/>
  <c r="H428" i="8"/>
  <c r="H429" i="8"/>
  <c r="H430" i="8"/>
  <c r="H431" i="8"/>
  <c r="H432" i="8"/>
  <c r="H434" i="8"/>
  <c r="H435" i="8"/>
  <c r="H436" i="8"/>
  <c r="H437" i="8"/>
  <c r="H439" i="8"/>
  <c r="H440" i="8"/>
  <c r="H441" i="8"/>
  <c r="H446" i="8"/>
  <c r="H447" i="8"/>
  <c r="H448" i="8"/>
  <c r="H449" i="8"/>
  <c r="H451" i="8"/>
  <c r="H452" i="8"/>
  <c r="H453" i="8"/>
  <c r="H458" i="8"/>
  <c r="H459" i="8"/>
  <c r="H460" i="8"/>
  <c r="H461" i="8"/>
  <c r="H463" i="8"/>
  <c r="H470" i="8"/>
  <c r="H471" i="8"/>
  <c r="H472" i="8"/>
  <c r="H473" i="8"/>
  <c r="H475" i="8"/>
  <c r="H480" i="8"/>
  <c r="H481" i="8"/>
  <c r="H482" i="8"/>
  <c r="H483" i="8"/>
  <c r="H484" i="8"/>
  <c r="H485" i="8"/>
  <c r="H494" i="8"/>
  <c r="H495" i="8"/>
  <c r="H496" i="8"/>
  <c r="H497" i="8"/>
  <c r="H506" i="8"/>
  <c r="H507" i="8"/>
  <c r="H508" i="8"/>
  <c r="H509" i="8"/>
  <c r="H511" i="8"/>
  <c r="H518" i="8"/>
  <c r="H519" i="8"/>
  <c r="H520" i="8"/>
  <c r="H521" i="8"/>
  <c r="H523" i="8"/>
  <c r="H524" i="8"/>
  <c r="H530" i="8"/>
  <c r="H531" i="8"/>
  <c r="H532" i="8"/>
  <c r="H533" i="8"/>
  <c r="H535" i="8"/>
  <c r="H536" i="8"/>
  <c r="H537" i="8"/>
  <c r="H542" i="8"/>
  <c r="H543" i="8"/>
  <c r="H544" i="8"/>
  <c r="H545" i="8"/>
  <c r="H547" i="8"/>
  <c r="H548" i="8"/>
  <c r="H549" i="8"/>
  <c r="H550" i="8"/>
  <c r="H554" i="8"/>
  <c r="H555" i="8"/>
  <c r="H556" i="8"/>
  <c r="H557" i="8"/>
  <c r="H559" i="8"/>
  <c r="H560" i="8"/>
  <c r="H561" i="8"/>
  <c r="H566" i="8"/>
  <c r="H567" i="8"/>
  <c r="H568" i="8"/>
  <c r="H569" i="8"/>
  <c r="H571" i="8"/>
  <c r="H572" i="8"/>
  <c r="H573" i="8"/>
  <c r="H578" i="8"/>
  <c r="H579" i="8"/>
  <c r="H580" i="8"/>
  <c r="H581" i="8"/>
  <c r="H583" i="8"/>
  <c r="H584" i="8"/>
  <c r="H585" i="8"/>
  <c r="H590" i="8"/>
  <c r="H591" i="8"/>
  <c r="H592" i="8"/>
  <c r="H593" i="8"/>
  <c r="H595" i="8"/>
  <c r="H596" i="8"/>
  <c r="H597" i="8"/>
  <c r="H602" i="8"/>
  <c r="H603" i="8"/>
  <c r="H604" i="8"/>
  <c r="H605" i="8"/>
  <c r="H607" i="8"/>
  <c r="H611" i="8"/>
  <c r="H612" i="8"/>
  <c r="H613" i="8"/>
  <c r="H614" i="8"/>
  <c r="H615" i="8"/>
  <c r="H616" i="8"/>
  <c r="H617" i="8"/>
  <c r="H619" i="8"/>
  <c r="H626" i="8"/>
  <c r="H627" i="8"/>
  <c r="H628" i="8"/>
  <c r="H629" i="8"/>
  <c r="H637" i="8"/>
  <c r="H638" i="8"/>
  <c r="H639" i="8"/>
  <c r="H640" i="8"/>
  <c r="H641" i="8"/>
  <c r="H650" i="8"/>
  <c r="H651" i="8"/>
  <c r="H652" i="8"/>
  <c r="H653" i="8"/>
  <c r="H655" i="8"/>
  <c r="H662" i="8"/>
  <c r="H663" i="8"/>
  <c r="H664" i="8"/>
  <c r="H665" i="8"/>
  <c r="H667" i="8"/>
  <c r="H668" i="8"/>
  <c r="H674" i="8"/>
  <c r="H675" i="8"/>
  <c r="H676" i="8"/>
  <c r="H677" i="8"/>
  <c r="H679" i="8"/>
  <c r="H680" i="8"/>
  <c r="H681" i="8"/>
  <c r="H686" i="8"/>
  <c r="H687" i="8"/>
  <c r="H688" i="8"/>
  <c r="H689" i="8"/>
  <c r="H691" i="8"/>
  <c r="H692" i="8"/>
  <c r="H693" i="8"/>
  <c r="H698" i="8"/>
  <c r="H699" i="8"/>
  <c r="H700" i="8"/>
  <c r="H701" i="8"/>
  <c r="H703" i="8"/>
  <c r="H704" i="8"/>
  <c r="H705" i="8"/>
  <c r="H710" i="8"/>
  <c r="H711" i="8"/>
  <c r="H712" i="8"/>
  <c r="H713" i="8"/>
  <c r="H715" i="8"/>
  <c r="H716" i="8"/>
  <c r="H717" i="8"/>
  <c r="H718" i="8"/>
  <c r="H719" i="8"/>
  <c r="H722" i="8"/>
  <c r="H723" i="8"/>
  <c r="H724" i="8"/>
  <c r="H725" i="8"/>
  <c r="H727" i="8"/>
  <c r="H728" i="8"/>
  <c r="H729" i="8"/>
  <c r="H730" i="8"/>
  <c r="H731" i="8"/>
  <c r="H732" i="8"/>
  <c r="H733" i="8"/>
  <c r="H734" i="8"/>
  <c r="H735" i="8"/>
  <c r="H736" i="8"/>
  <c r="H737" i="8"/>
  <c r="H739" i="8"/>
  <c r="H740" i="8"/>
  <c r="H741" i="8"/>
  <c r="H742" i="8"/>
  <c r="H743" i="8"/>
  <c r="H744" i="8"/>
  <c r="H745" i="8"/>
  <c r="H746" i="8"/>
  <c r="H747" i="8"/>
  <c r="H748" i="8"/>
  <c r="H749" i="8"/>
  <c r="H751" i="8"/>
  <c r="H758" i="8"/>
  <c r="H759" i="8"/>
  <c r="H760" i="8"/>
  <c r="H761" i="8"/>
  <c r="H763" i="8"/>
  <c r="H770" i="8"/>
  <c r="H771" i="8"/>
  <c r="H772" i="8"/>
  <c r="H773" i="8"/>
  <c r="H782" i="8"/>
  <c r="H783" i="8"/>
  <c r="H784" i="8"/>
  <c r="H785" i="8"/>
  <c r="H794" i="8"/>
  <c r="H795" i="8"/>
  <c r="H796" i="8"/>
  <c r="H797" i="8"/>
  <c r="H799" i="8"/>
  <c r="H806" i="8"/>
  <c r="H807" i="8"/>
  <c r="H808" i="8"/>
  <c r="H809" i="8"/>
  <c r="H811" i="8"/>
  <c r="H812" i="8"/>
  <c r="H818" i="8"/>
  <c r="H819" i="8"/>
  <c r="H820" i="8"/>
  <c r="H821" i="8"/>
  <c r="H823" i="8"/>
  <c r="H824" i="8"/>
  <c r="H825" i="8"/>
  <c r="H828" i="8"/>
  <c r="H2" i="8"/>
</calcChain>
</file>

<file path=xl/sharedStrings.xml><?xml version="1.0" encoding="utf-8"?>
<sst xmlns="http://schemas.openxmlformats.org/spreadsheetml/2006/main" count="3258" uniqueCount="1160">
  <si>
    <t>DoD Civilian Personnel Management System</t>
  </si>
  <si>
    <t>Classified Title</t>
  </si>
  <si>
    <t>Transportation and Traffic Management</t>
  </si>
  <si>
    <t>Identification (ID) Cards Required by the Geneva Conventions</t>
  </si>
  <si>
    <t>Federal Voting Assistance Program (FVAP)</t>
  </si>
  <si>
    <t>Financial Institutions on DoD Installations</t>
  </si>
  <si>
    <t>Identification (ID) Cards for Members of the Uniformed Services, Their Dependents, and Other Eligible Individuals</t>
  </si>
  <si>
    <t>Procedures and Support for Non-Federal Entities Authorized to Operate on DoD Installations</t>
  </si>
  <si>
    <t>Detail of DoD Personnel to Duty Outside the Department of Defense</t>
  </si>
  <si>
    <t>DoD Personnel Identity Protection (PIP) Program</t>
  </si>
  <si>
    <t>Mass Transportation Benefit Program (MTBP)</t>
  </si>
  <si>
    <t>Armed Forces Retirement Home (AFRH)</t>
  </si>
  <si>
    <t>Reduction of Social Security Number (SSN) Use Within DoD</t>
  </si>
  <si>
    <t>Computer / Electronics Accommodations Program (CAP)</t>
  </si>
  <si>
    <t>Prohibition of Lobbying Activity by Former DoD Senior Officials</t>
  </si>
  <si>
    <t>Display of the National Flag At Half-staff</t>
  </si>
  <si>
    <t>Department of Defense Spirit of Hope (SOH) Award</t>
  </si>
  <si>
    <t>DoD Civilian Flags</t>
  </si>
  <si>
    <t>Commander in Chief's Annual Award for Installation Excellence</t>
  </si>
  <si>
    <t>Military Personnel Drug Abuse Testing Program (MPDATP)</t>
  </si>
  <si>
    <t>Problematic Substance Use by DoD Personnel</t>
  </si>
  <si>
    <t>DoD Civilian Employee Drug-Free Workplace Program</t>
  </si>
  <si>
    <t>Health Promotion and Disease Prevention</t>
  </si>
  <si>
    <t>Technical Procedures for the Military Personnel Drug Abuse Testing Program</t>
  </si>
  <si>
    <t>DoD Civilian Employee Morale, Welfare, and Recreation (MWR) Activities and Supporting Nonappropriated Fund Instrumentalities (NAFI)</t>
  </si>
  <si>
    <t>Professional U.S. Scouting Organization Operations At U.S. Military Installations Overseas</t>
  </si>
  <si>
    <t>Military Morale, Welfare, and Recreation (MWR) Programs</t>
  </si>
  <si>
    <t>DoD Lodging Policy</t>
  </si>
  <si>
    <t>DoD Procedures for Implementing Public-Private Ventures (PPVS) for Morale, Welfare and Recreation (MWR), and Armed Services Exchange Category C Revenue-Generating Activities</t>
  </si>
  <si>
    <t>Establishment, Management, and Control of Nonappropriated Fund Instrumentalities and Financial Management of Supporting Resources</t>
  </si>
  <si>
    <t>Nonappropriated Fund Instrumentalities Information Technology Policies and Procedures</t>
  </si>
  <si>
    <t>Harassment Prevention and Response in the Armed Forces</t>
  </si>
  <si>
    <t>Harassment Prevention and Responses for DoD Civilian Employees</t>
  </si>
  <si>
    <t>DoD Diversity and Inclusion Management Program</t>
  </si>
  <si>
    <t>National Security Education Program (NSEP) and NSEP Service Agreement</t>
  </si>
  <si>
    <t>DoD STARBASE Program</t>
  </si>
  <si>
    <t>National Guard Youth Challenge Program</t>
  </si>
  <si>
    <t>Science, Mathematics, and Research for Transformation Defense Education Program</t>
  </si>
  <si>
    <t>Chief Financial Officer (CFO) Academy</t>
  </si>
  <si>
    <t> DoD Science, Technology, Engineering, and Mathematics (STEM) Education Programs and Activities</t>
  </si>
  <si>
    <t>Victim and Witness Assistance </t>
  </si>
  <si>
    <t>Protections For DoD Personnel Against Personal Liability For Performing Their Official Duties</t>
  </si>
  <si>
    <t>Special Victims' Counsel Programs</t>
  </si>
  <si>
    <t>Telework And Remote Work</t>
  </si>
  <si>
    <t>National Defense Executive Reserve</t>
  </si>
  <si>
    <t>DoD Surveys</t>
  </si>
  <si>
    <t>Equal Opportunity in Off-Base Housing</t>
  </si>
  <si>
    <t>Voluntary Services in the Department of Defense</t>
  </si>
  <si>
    <t>Policy and Procedures for Determining Workforce Mix</t>
  </si>
  <si>
    <t>Detail of Personnel to OSD</t>
  </si>
  <si>
    <t>Innovative Readiness Training (IRT): Support and Services for Eligible Organizations and Activities Outside DoD</t>
  </si>
  <si>
    <t>National Language Service Corps (NLSC)</t>
  </si>
  <si>
    <t>Programming and Accounting for Active Component (AC) Military Manpower</t>
  </si>
  <si>
    <t>Vending Facility Program for the Blind on DoD-Controlled Federal Property</t>
  </si>
  <si>
    <t>Qualitative Distribution of Military Manpower</t>
  </si>
  <si>
    <t>Screening the Ready Reserve</t>
  </si>
  <si>
    <t>Assignment to and Transfer Between Reserve Categories and Discharge from Reserve Status</t>
  </si>
  <si>
    <t>The United States Property and Fiscal Officer (USPFO) Program</t>
  </si>
  <si>
    <t>Civilian Employment and Reemployment Rights for Service Members, Former Service Members and Applicants of the Uniformed Services</t>
  </si>
  <si>
    <t>Junior Reserve Officers' Training Corps Program</t>
  </si>
  <si>
    <t>Full-Time Support (FTS) to the Reserve Components</t>
  </si>
  <si>
    <t>Employer Support of the Guard and Reserve (ESGR)</t>
  </si>
  <si>
    <t>Uniform Reserve, Training, and, Retirement Categories for the Reserve Components</t>
  </si>
  <si>
    <t>Service Credit for Non-Regular Retirement</t>
  </si>
  <si>
    <t>Senior Reserve Officers' Training Corps (ROTC) Programs</t>
  </si>
  <si>
    <t>Ready Reserve Member Participation Policy</t>
  </si>
  <si>
    <t>Military Reserve Exchange Program (MREP)</t>
  </si>
  <si>
    <t>Educational Requirements for Appointment to a Grade Above First Lieutenant or Lieutenant (Junior Grade) in a Reserve Component</t>
  </si>
  <si>
    <t>Reserve Component (RC) Use of Electronic-Based Distributed Learning Methods for Training</t>
  </si>
  <si>
    <t>Reserve Component Representation, North Atlantic Treaty Organization (NATO) National Reserve Forces Committee (NRFC) and NATO Schools</t>
  </si>
  <si>
    <t>Equipping the Reserve Forces</t>
  </si>
  <si>
    <t>Reserve Component (RC) Facilities Programs and Unit Stationing</t>
  </si>
  <si>
    <t>Billeting for Reserve Component Members</t>
  </si>
  <si>
    <t>Management of the Standby Reserve</t>
  </si>
  <si>
    <t>Management of Individual Mobilization Augmentees (IMAs)</t>
  </si>
  <si>
    <t>Accessing the Reserve Components (RC)</t>
  </si>
  <si>
    <t>Administration and Management of the Individual Ready Reserve (IRR) and the Inactive National Guard (ING)</t>
  </si>
  <si>
    <t>Reserve Component (RC) Line of Duty Determination for Medical and Dental Treatments and Incapacitation Pay Entitlements</t>
  </si>
  <si>
    <t>Reserve Income Replacement Program (RIRP)</t>
  </si>
  <si>
    <t>TRICARE Reserve Select and TRICARE Retired Reserve Programs</t>
  </si>
  <si>
    <t>DoD Reserve Forces Senior Enlisted Advisors Council</t>
  </si>
  <si>
    <t>Inter-Service and Inter-Component Transfers of Service Members</t>
  </si>
  <si>
    <t>Conscientious Objectors</t>
  </si>
  <si>
    <t>Military Funeral Support</t>
  </si>
  <si>
    <t>Religious Liberty in the Military Services</t>
  </si>
  <si>
    <t>DoD Personnel Casualty Matters, Policies, and Procedures</t>
  </si>
  <si>
    <t>DoD Joint Officer Management Program</t>
  </si>
  <si>
    <t>Recovery Coordination Program (RCP)</t>
  </si>
  <si>
    <t>Guidance for the Education and Employment Initiative (E21) and Operation WARFIGHTER (OWF)</t>
  </si>
  <si>
    <t>Operation of the DoD Financial Management Certification Program</t>
  </si>
  <si>
    <t>Guidance on the Use of Service Dogs by Service Members</t>
  </si>
  <si>
    <t>In-Service Transition for Transgender Service Members</t>
  </si>
  <si>
    <t>Mortuary Affairs Program</t>
  </si>
  <si>
    <t>DoD Cemeteries</t>
  </si>
  <si>
    <t>Accession Processing Data Collection Forms</t>
  </si>
  <si>
    <t>DoD Military Personnel Accession Testing Programs</t>
  </si>
  <si>
    <t>Acquisition and Use of Criminal History Record Information for Military Recruiting Purposes</t>
  </si>
  <si>
    <t>Use of Directory Information on Secondary School Students for Military Recruiting Purposes</t>
  </si>
  <si>
    <t>Fulfilling the Military Service Obligation</t>
  </si>
  <si>
    <t>Qualification Standards for Enlistment, Appointment, and Induction</t>
  </si>
  <si>
    <t>The Appointment and Service of Chaplains</t>
  </si>
  <si>
    <t>Administration of Enlistment Bonuses, Accession Bonuses for New Officers in Critical Skills, Selective Reenlistment Bonuses, and Critical Skills Retention Bonuses for Active Members</t>
  </si>
  <si>
    <t>Enlisted Bonus Program</t>
  </si>
  <si>
    <t>Military Services Recruiting Related Reports</t>
  </si>
  <si>
    <t>Protecting Against Inappropriate Relations During Recruiting and Entry Level Training</t>
  </si>
  <si>
    <t>General Bonus Authority for Officers</t>
  </si>
  <si>
    <t>Military Marketing</t>
  </si>
  <si>
    <t>Education Loan Repayment Program</t>
  </si>
  <si>
    <t>DoD Physical Fitness/Body Composition Program</t>
  </si>
  <si>
    <t>Rank and Seniority of Commissioned Officers</t>
  </si>
  <si>
    <t>Original Appointment of Officers</t>
  </si>
  <si>
    <t>Department of Defense Occupational Information Collection and Reporting</t>
  </si>
  <si>
    <t>Entry Grade Credit for Commissioned Officers and Warrant Officers</t>
  </si>
  <si>
    <t> Utilization Of Enlisted Aides On Personal Staffs Of General Officers/Flag Officers</t>
  </si>
  <si>
    <t>Separation Policies for Survivorship</t>
  </si>
  <si>
    <t>Procedures for Military Personnel Assignments</t>
  </si>
  <si>
    <t>Exceptional Family Member Program</t>
  </si>
  <si>
    <t>Management of the DoD Foreign Area Office Program</t>
  </si>
  <si>
    <t>Military Officer Actions Requiring Presidential, Secretary of Defense, or Under Secretary of Defense for Personnel and Readiness Approval or Senate Confirmation</t>
  </si>
  <si>
    <t>Continuation of Commissioned Officers on Active Duty and on the Reserve Active-Status List</t>
  </si>
  <si>
    <t>Discharge of Commissioned Officers Not Qualified for Promotion to the Grade of First Lieutenant Or Lieutenant (Junior Grade)</t>
  </si>
  <si>
    <t>Commissioned Officer Promotion Reports</t>
  </si>
  <si>
    <t>DoD Commissioned Officer Promotion Program Procedures</t>
  </si>
  <si>
    <t>Fellowships, Legislative Fellowships, Internships, Scholarships, Training-With-Industry (TWI), and Grants Provided to DoD or DoD Personnel for Education and Training</t>
  </si>
  <si>
    <t>Policy on Graduate Education for Military Officers</t>
  </si>
  <si>
    <t>Funded Legal Education</t>
  </si>
  <si>
    <t>Montgomery GI Bill Program</t>
  </si>
  <si>
    <t>Montgomery GI Bill-Selected Reserve (MGIB-SR)</t>
  </si>
  <si>
    <t>Voluntary Education Programs in Overseas Areas</t>
  </si>
  <si>
    <t>Military Service Academies</t>
  </si>
  <si>
    <t>Secretary of Defense Executive Fellows (SDEF)</t>
  </si>
  <si>
    <t>Medical Readiness Training</t>
  </si>
  <si>
    <t>Voluntary Education Programs</t>
  </si>
  <si>
    <t>Distributed Learning (DL)</t>
  </si>
  <si>
    <t>DoD Urban Training Facilities</t>
  </si>
  <si>
    <t>Realistic Military Training (RMT) Off Federal Real Property</t>
  </si>
  <si>
    <t>Job Training, Employment Skills Training, Apprenticeships, and Internships (JTEST-AI) for Eligible Service Members</t>
  </si>
  <si>
    <t>Reserve Educational Assistance Program (REAP)</t>
  </si>
  <si>
    <t>Common Military Training</t>
  </si>
  <si>
    <t> Pre-deployment Training and Theater-entry Requirements</t>
  </si>
  <si>
    <t>DoD Credentialing Programs</t>
  </si>
  <si>
    <t>Financial Readiness of Service Members</t>
  </si>
  <si>
    <t>Military Education: Program Management and Administration</t>
  </si>
  <si>
    <t>Desertion and Unauthorized Absence or Absence Without Leave</t>
  </si>
  <si>
    <t>Handling Protest, Extremist, and Criminal Gang Activities Among Members of the Armed Forces</t>
  </si>
  <si>
    <t>Administration of Military Correctional Facilities and Clemency and Parole Authority</t>
  </si>
  <si>
    <t>Leave and Liberty Policy and Procedures</t>
  </si>
  <si>
    <t>Career Intermission Program for Service Members</t>
  </si>
  <si>
    <t>Military Services Participation in National and International Sports Activities</t>
  </si>
  <si>
    <t>Armed Services Exchange Policy</t>
  </si>
  <si>
    <t>DoD Commissary Program</t>
  </si>
  <si>
    <t>Armed Services Exchange Regulations</t>
  </si>
  <si>
    <t>Enlisted Administrative Separations</t>
  </si>
  <si>
    <t>Disability Evaluation System</t>
  </si>
  <si>
    <t>Minimum Service in Grade for Non-Disability (Voluntary) Retirement in the Grades of W-3 through W-5 and E-7 Through E-9</t>
  </si>
  <si>
    <t>Discharge Review Board (DRB) Procedures and Standards</t>
  </si>
  <si>
    <t>Involuntary Separation Pay (Non-Disability)</t>
  </si>
  <si>
    <t>Commissioned Officer Administrative Separations</t>
  </si>
  <si>
    <t>Selective Early Retirement Or Removal of Officers on the Active Duty List, the Warrant Officer Active Duty List, Or the Reserve Active Status List</t>
  </si>
  <si>
    <t>Transition Assistance Program (TAP) for Military Personnel</t>
  </si>
  <si>
    <t>Survivor Benefit Plan</t>
  </si>
  <si>
    <t>Voluntary Separation Pay (VSP) Program for Service Members</t>
  </si>
  <si>
    <t>Retention Determinations for Non-Deployable Service Members</t>
  </si>
  <si>
    <t>Temporary Early Retirement Authority (TERA) for Service Members</t>
  </si>
  <si>
    <t>Wearing of the Uniform</t>
  </si>
  <si>
    <t>Frocking of Commissioned Officers</t>
  </si>
  <si>
    <t>Certificate of Uniformed Service (DD Form 214/5 Series)</t>
  </si>
  <si>
    <t>Management of Personnel Tempo</t>
  </si>
  <si>
    <t>Military Human Resource Records Life Cycle Management</t>
  </si>
  <si>
    <t>Armed Forces Clothing Monetary Allowance Procedures</t>
  </si>
  <si>
    <t>Special Command Positions (SCPS)</t>
  </si>
  <si>
    <t>Hazard Pay (HzP) Program</t>
  </si>
  <si>
    <t>Advance Pay Incident to a Permanent Change of Station (PCS) for Members of the Uniformed Services</t>
  </si>
  <si>
    <t>Procedures for Settling Personnel and General Claims and Processing Advance Decision Requests</t>
  </si>
  <si>
    <t>Waiver Procedures for Debts Resulting from Erroneous Pay and Allowances</t>
  </si>
  <si>
    <t>Family Separation Allowance</t>
  </si>
  <si>
    <t>Combat Zone Tax Exclusion (CZTE)</t>
  </si>
  <si>
    <t>Assignment and Special Duty Pays</t>
  </si>
  <si>
    <t>Military Foreign Language Skill Proficiency Bonuses</t>
  </si>
  <si>
    <t>Defense Enrollment Eligibility Reporting System (DEERS) Program and Procedures</t>
  </si>
  <si>
    <t>Veterans Employment Assistance Program (VEAP)</t>
  </si>
  <si>
    <t>Payment of Death Gratuity to Survivors of Certain DoD Personnel Assigned to Intelligence Duties</t>
  </si>
  <si>
    <t>DoD Adoption Reimbursement Policy</t>
  </si>
  <si>
    <t>Family Subsistence Supplemental Allowance (FSSA) Program</t>
  </si>
  <si>
    <t>Special Compensation for Assistance with Activities of Daily Living (SCAADL) Program</t>
  </si>
  <si>
    <t>Post-9/11 GI Bill</t>
  </si>
  <si>
    <t>Servicemembers' Group Life Insurance (SGLI) On-Line Enrollment System (SOES)</t>
  </si>
  <si>
    <t>Basic Needs Allowance</t>
  </si>
  <si>
    <t>Provision of Early Intervention and Special Education Services to Eligible DoD Dependents</t>
  </si>
  <si>
    <t>Educational Advisory Committees and Councils</t>
  </si>
  <si>
    <t>Family Care Plans</t>
  </si>
  <si>
    <t>Military Family Readiness</t>
  </si>
  <si>
    <t>Transitional Compensation (TC) for Abused Dependents</t>
  </si>
  <si>
    <t>School Boards for Department of Defense Domestic Dependent Elementary and Secondary Schools (DDESS)</t>
  </si>
  <si>
    <t>Eligibility Requirements for Minor Dependents to Attend Department of Defense Domestic Dependent Elementary and Secondary Schools (DDESS)</t>
  </si>
  <si>
    <t>DoD Yellow Ribbon Reintegration Program (YRRP)</t>
  </si>
  <si>
    <t>Interstate Compact on Educational Opportunity for Military Children</t>
  </si>
  <si>
    <t>Personal Commercial Solicitation on DoD Installations</t>
  </si>
  <si>
    <t>Interment Allowance for Deceased Military Personnel</t>
  </si>
  <si>
    <t>Indebtedness of Military Personnel</t>
  </si>
  <si>
    <t>Award of Medals, Trophies, Badges, and Similar Honors in Recognition of Accomplishments</t>
  </si>
  <si>
    <t>Secretary of Defense Maintenance Awards</t>
  </si>
  <si>
    <t>DoD Military Decorations and Awards Program</t>
  </si>
  <si>
    <t>Presidential Recognition Upon Retirement from Military Service</t>
  </si>
  <si>
    <t>OSD Identification Badge Program</t>
  </si>
  <si>
    <t>Gold Star Lapel Button, Service Flag, and Service Lapel Button</t>
  </si>
  <si>
    <t>DoD Military Equal Opportunity Program</t>
  </si>
  <si>
    <t>Affirmative Action Planning and Assessment Process</t>
  </si>
  <si>
    <t>Legal Assistance Matters</t>
  </si>
  <si>
    <t>Management of Regular and Reserve Retired Military Members</t>
  </si>
  <si>
    <t>Policy on Organizations that Seek to Represent or Organize Service Members in Negotiation or Collective Bargaining</t>
  </si>
  <si>
    <t>Civilian Mobility Program</t>
  </si>
  <si>
    <t>DoD Implementation of the Joint Intelligence Community Duty Assignment (JDA) Program</t>
  </si>
  <si>
    <t>Employment of Retired Members of the Armed Forces</t>
  </si>
  <si>
    <t>Senior Executive Service (SES), Senior Level (SL) and Scientific and Professional (ST) Personnel Categories in the DoD Fourth Estate: Administration</t>
  </si>
  <si>
    <t>Senior Executive Service (SES), Senior Level (SL) and Scientific and Professional (ST) Personnel Categories in the DoD Fourth Estate: Executive Resources Management</t>
  </si>
  <si>
    <t>Senior Executive Service (SES), Senior Level (SL), and Scientific and Professional (ST) Personnel Categories in the DoD Fourth Estate: Staffing, Reassignments, Transfers, Details, and Reinstatements</t>
  </si>
  <si>
    <t>Senior Executive Service (SES), Senior Level (SL), and Scientific and Professional (ST) Personnel Categories in the DoD Fourth Estate: Performance Management and Presidential Rank Awards</t>
  </si>
  <si>
    <t>Senior Executive Service (SES), Senior Level (SL), and Scientific and Professional (ST) Personnel Categories in the DoD Fourth Estate: Probationary Periods, Disciplinary Actions, and Removals</t>
  </si>
  <si>
    <t>Background Checks on Individuals in DoD Child Care Services Programs</t>
  </si>
  <si>
    <t>Civilian Faculty Positions in DoD Post-Secondary Educational Institutions</t>
  </si>
  <si>
    <t>Reduction in Force in the Senior Executive Service (SES)</t>
  </si>
  <si>
    <t>Civilian Career Management</t>
  </si>
  <si>
    <t>Growing Civilian Leaders</t>
  </si>
  <si>
    <t>DoD Workplace Violence Prevention and Response Policy</t>
  </si>
  <si>
    <t>Personnel Actions Involving Civilian Attorneys</t>
  </si>
  <si>
    <t>Outside Assignments of Attorneys from the DoD Office of the General Counsel (OGC, DoD) and Defense Legal Services Agency (DLSA)</t>
  </si>
  <si>
    <t>Data Submission Requirements for DoD Civilian Personnel: Appropriated Fund (APF) Civilians</t>
  </si>
  <si>
    <t>Data Submission Requirements for DoD Civilian Personnel: Nonappropriated Fund (NAF) Civilians</t>
  </si>
  <si>
    <t>Data Submission Requirements for DoD Civilian Personnel: Foreign National (FN) Civilians</t>
  </si>
  <si>
    <t>Data Submission Requirements for DoD Civilian Personnel: Workforce and Address Dynamic Records</t>
  </si>
  <si>
    <t>International Interchange of Patent Rights and Technical Information</t>
  </si>
  <si>
    <t>Procedures for Handling Requests for Asylum and Temporary Refuge</t>
  </si>
  <si>
    <t>DoD Antiterrorism (AT) Program</t>
  </si>
  <si>
    <t>(U) DoD Antiterrorism Program Implementation: DoD Antiterrorism Standards</t>
  </si>
  <si>
    <t>DoD Antiterrorism (AT) Program Implementation: DoD Force Protection Condition (FPCON) System</t>
  </si>
  <si>
    <t>DoD Participation in the NATO Commitee on Gender Perspectives (NCGP)</t>
  </si>
  <si>
    <t>Cooperative Logistics Supply Support Arrangements</t>
  </si>
  <si>
    <t>DoD Support to International Chemical, Biological, Radiological, and Nuclear (CBRN) Incidents</t>
  </si>
  <si>
    <t>Designation and Physical Protection of DoD High-Risk Personnel</t>
  </si>
  <si>
    <t>(U) Conduct of DoD Contacts with the People's Republic of China (PRC)</t>
  </si>
  <si>
    <t>(U) Conduct of DoD Contacts with the Government of the Hong Kong, Special Administrative Region (HKSAR) of the People's Republic of China (PRC)</t>
  </si>
  <si>
    <t>DoD Procedures for Reviewing and Monitoring Transactions Filed with the Committee on Foreign Investment in the United States</t>
  </si>
  <si>
    <t>DoD Use of the Federal Bureau of Investigation (FBI) eGuardian System</t>
  </si>
  <si>
    <t>DoD Senior Foreign Official Visit Program</t>
  </si>
  <si>
    <t>DoD Policy and Responsibilities Relating to the Regional Defense Combating Terrorism Fellowship Program (CTFP)</t>
  </si>
  <si>
    <t>Global Health Engagement (GHE) Activities</t>
  </si>
  <si>
    <t>(U) DoD Policy on Defense Engagement with the Russian Federation</t>
  </si>
  <si>
    <t>(U) Freedom of Navigation (FON) Program</t>
  </si>
  <si>
    <t>Materiel Interoperability and Standardization with Allies and Coalition Partners</t>
  </si>
  <si>
    <t>Aviation Leadership Program</t>
  </si>
  <si>
    <t>Defense Research, Development, Test and Evaluation (RDT&amp;E) Information Exchange Program (IEP)</t>
  </si>
  <si>
    <t>Implementation of Trade Security Controls (TSCs) for Transfers of DoD Personal Property to Parties Outside DoD Control</t>
  </si>
  <si>
    <t>Defense Economic Cooperation with Canada</t>
  </si>
  <si>
    <t>International Transfers of Technology, Articles, and Services</t>
  </si>
  <si>
    <t>End Use Certificates (EUCs)</t>
  </si>
  <si>
    <t>Application of the National Security Exclusion to the Agreements Between the United States of America and the International Atomic Energy Agency for the Application of Safeguards in the United States of America</t>
  </si>
  <si>
    <t>Combating Trafficking in Persons (CTIP)</t>
  </si>
  <si>
    <t>Humanitarian and Civic Assistance (HCA) Activities</t>
  </si>
  <si>
    <t>Accounting for Missing Persons - Boards of Inquiry</t>
  </si>
  <si>
    <t>Medical Program Support for Detainee Operations</t>
  </si>
  <si>
    <t>Behavioral Science Support (BSS) for Detainee Operations and Intelligence Interrogations</t>
  </si>
  <si>
    <t>DoD Munitions Requirements Process (MRP)</t>
  </si>
  <si>
    <t>Balanced Survivability Assessments (BSAs)</t>
  </si>
  <si>
    <t>Management of DoD Irregular Warfare (IW) and Security Force Assistance (SFA) Capabilities</t>
  </si>
  <si>
    <t>Management of U.S. Global Defense Posture (GDP)</t>
  </si>
  <si>
    <t>DoD Rewards Program (DoDRP)</t>
  </si>
  <si>
    <t>DoD Counterdrug and Counter-Transnational Organized Crime Policy</t>
  </si>
  <si>
    <t>Plan Review and Approval Process</t>
  </si>
  <si>
    <t>Civilian Harm Mitigation and Response</t>
  </si>
  <si>
    <t> Strategic Readiness</t>
  </si>
  <si>
    <t>Personnel Accountability in Conjunction with Natural or Manmade Disasters</t>
  </si>
  <si>
    <t>406  MHz Emergency Beacons and Other Emergency Reporting Devices in the Department of Defense in Support of Personnel Recovery and Search and Rescue</t>
  </si>
  <si>
    <t>DoD Personnel Recovery - Reintegration of Recovered Personnel</t>
  </si>
  <si>
    <t>DoD Personnel Recovery - Non-conventional Assisted Recovery (NAR)</t>
  </si>
  <si>
    <t>Personnel Recovery (PR) Education and Training</t>
  </si>
  <si>
    <t>DoD Support to Civil Search and Rescue (SAR)</t>
  </si>
  <si>
    <t>Mission Assurance Policy for the Defense Intelligence Enterprise (DIE)</t>
  </si>
  <si>
    <t>Operational Contract Support (OCS)</t>
  </si>
  <si>
    <t>Defense Continuity Plan Development</t>
  </si>
  <si>
    <t>Emergency Management and Incident Command on the Pentagon Facilities</t>
  </si>
  <si>
    <t>Mission Assurance Construct</t>
  </si>
  <si>
    <t>DoD Participation in the National Exercise Program (NEP)</t>
  </si>
  <si>
    <t>Guidance for Maritime Operational Threat Response (MOTR)-Related Conferencing Coordination Activities Implementation</t>
  </si>
  <si>
    <t>Private Security Contractors Operating in Contingency Operations, Humanitarian or Peace Operations, or Other Military Operations or Exercises</t>
  </si>
  <si>
    <t>Intelligence Support to the Defense Critical Infrastructure Program (DCIP)</t>
  </si>
  <si>
    <t>DoD Installation Chemical, Biological, Radiological, Nuclear, and High-Yield Explosive (CBRNE) Preparedness Standards</t>
  </si>
  <si>
    <t>Defense Emergency Preparedness Liaison Officer (EPLO) Programs</t>
  </si>
  <si>
    <t>Civil-Military Assistance for Certain Youth and Charitable Organizations</t>
  </si>
  <si>
    <t>Procedures for Sharing Information with and Providing Support to the U.S. Secret Service (USSS), Department of Homeland Security (DHS)</t>
  </si>
  <si>
    <t>Defense Support of Special Events</t>
  </si>
  <si>
    <t>Defense Support of Civilian Law Enforcement Agencies</t>
  </si>
  <si>
    <t>The Use of the National Guard for Defense Support of Civil Authorities</t>
  </si>
  <si>
    <t>Domestic Defense Liaison with Civil Authorities</t>
  </si>
  <si>
    <t>DoD Public Health and Medical Services in Support of Civil Authorities</t>
  </si>
  <si>
    <t>Joint Land Use Study (JLUS) Program</t>
  </si>
  <si>
    <t>The Technical Cooperation Program (TTCP)</t>
  </si>
  <si>
    <t>Management of Laser Illumination of Objects in Space</t>
  </si>
  <si>
    <t>Space Support</t>
  </si>
  <si>
    <t>(U) Space Force Application</t>
  </si>
  <si>
    <t>(U) Space Force Enhancement</t>
  </si>
  <si>
    <t>(U) Space Control</t>
  </si>
  <si>
    <t>Sustainment Health Metrics in Support of Materiel Availability</t>
  </si>
  <si>
    <t>War Reserve Materiel (WRM)</t>
  </si>
  <si>
    <t>Signals Intelligence (SIGINT)</t>
  </si>
  <si>
    <t>Collection of Information on Non-U.S. Persons Outside the United States at the Request of U.S. Law Enforcement Agencies (LEAs)</t>
  </si>
  <si>
    <t>Intelligence Support to Personnel Recovery</t>
  </si>
  <si>
    <t>DoD Intelligence Human Capital Management Operations</t>
  </si>
  <si>
    <t>Open Source Intelligence (OSINT)</t>
  </si>
  <si>
    <t>Civil Aviation Intelligence</t>
  </si>
  <si>
    <t>Geospatial Intelligence (GEOINT)</t>
  </si>
  <si>
    <t>Management and Oversight of DoD All-Source Analysis</t>
  </si>
  <si>
    <t>Executive Agent for Tactical Exploitation of National Capabilities</t>
  </si>
  <si>
    <t>(U) Controlling the Use of Nuclear Weapons</t>
  </si>
  <si>
    <t>The Chemical, Biological, Radiological, and Nuclear Survivability Policy</t>
  </si>
  <si>
    <t>DoD Response to U.S. Nuclear Weapon Incidents</t>
  </si>
  <si>
    <t>DoD Scientific and Technical Information Program (STIP)</t>
  </si>
  <si>
    <t>Operational Range Clearance (ORC)</t>
  </si>
  <si>
    <t>(U) Implementing Instructions for the DoD Special Communications Enterprise Office (SCEO)</t>
  </si>
  <si>
    <t>Management and Operation of the Major Range and Test Facility Base (MRTFB)</t>
  </si>
  <si>
    <t>Non-Lethal Weapons (NLW) Human Effects Characterization</t>
  </si>
  <si>
    <t>Scientific and Engineering Integrity</t>
  </si>
  <si>
    <t>Sustaining Access to the Live Training Domain</t>
  </si>
  <si>
    <t>Management of DoD Research and Development (R&amp;D) Laboratories</t>
  </si>
  <si>
    <t>In-House Laboratory Independent Research (ILIR) Program</t>
  </si>
  <si>
    <t>Management of Science and Technology Reinvention Laboratory Personnel Demonstration Projects</t>
  </si>
  <si>
    <t>DoD Policy for Oversight of Independent Research and Development (IR&amp;D)</t>
  </si>
  <si>
    <t>Administration and Support of Basic Research by the Department of Defense</t>
  </si>
  <si>
    <t>Research Integrity and Misconduct</t>
  </si>
  <si>
    <t>Reporting and Using Information in the Government-Wide Integrity and Performance System</t>
  </si>
  <si>
    <t>Use of Animals in DoD Conducted and Supported Research and Training</t>
  </si>
  <si>
    <t>Protection of Human Subjects and Adherence to Ethical Standards in DoD-Conducted and -Supported Research</t>
  </si>
  <si>
    <t>National Defense Science and Engineering Graduate (NDSEG) Fellowships</t>
  </si>
  <si>
    <t>DoD Electromagnetic Environmental Effects (E3) Program</t>
  </si>
  <si>
    <t>Physical Security Enterprise and Analysis Program (PSEAP)</t>
  </si>
  <si>
    <t>Single Manager Responsibility for Joint Military Diving Technology and Training (MDT&amp;T)</t>
  </si>
  <si>
    <t>Defense Biometric Enabled Intelligence (BEI) and Forensic Enabled Intelligence (FEI)</t>
  </si>
  <si>
    <t>Reserve Component Intelligence Enterprise (RCIE) Management</t>
  </si>
  <si>
    <t>(U) Intelligence Commercial Activities (ICAs)</t>
  </si>
  <si>
    <t>Defense Intelligence Foreign Language and Regional and Culture Capabilities</t>
  </si>
  <si>
    <t>National Intelligence University (NIU)</t>
  </si>
  <si>
    <t>DoD General Intelligence Training and Certification</t>
  </si>
  <si>
    <t>DoD Cryptologic Training</t>
  </si>
  <si>
    <t>Geospatial-Intelligence (GEOINT) Training</t>
  </si>
  <si>
    <t>DoD Counterintelligence (CI) Training and Certification</t>
  </si>
  <si>
    <t>Intelligence and Counterintelligence (I&amp;CI) Training of Non-U.S. Persons</t>
  </si>
  <si>
    <t>DoD Security Education, Training, and Certification</t>
  </si>
  <si>
    <t>Joint Intelligence Training (JIT) and Certification</t>
  </si>
  <si>
    <t>DoD Human Intelligence (HUMINT) Training and Certification</t>
  </si>
  <si>
    <t>DoD Measurement and Signature Intelligence (MASINT) Training and Certification</t>
  </si>
  <si>
    <t>(U) Implementation of the Foreign Materiel Program (FMP)</t>
  </si>
  <si>
    <t>(U) Guidance for the Conduct of DoD Human Source Validation</t>
  </si>
  <si>
    <t>DoD Intelligence Collection Management</t>
  </si>
  <si>
    <t>(U) Human Intelligence (HUMINT) Activities in Cyberspace</t>
  </si>
  <si>
    <t>Management of the Joint Reserve Intelligence Program (JRIP)</t>
  </si>
  <si>
    <t>Information Operation (IO) Security Classification Guidance (U)</t>
  </si>
  <si>
    <t>(U) Test and Evaluation of Cyberspace Effects and Enabling Capabilities</t>
  </si>
  <si>
    <t>(U) Department of Defense Military Deception</t>
  </si>
  <si>
    <t>Military Information Support Operations (MISO)</t>
  </si>
  <si>
    <t>Information Operations Career Force</t>
  </si>
  <si>
    <t>Joint Information Operations (IO) Education</t>
  </si>
  <si>
    <t>Secretary of Defense Communications (SDC)</t>
  </si>
  <si>
    <t>Chairman of the Joint Chiefs of Staff Airborne and Temporary Duty Communications</t>
  </si>
  <si>
    <t>(U) Nuclear Command, Control, and Communications (NC3) System</t>
  </si>
  <si>
    <t>National Leadership Command Capabilities (NLCC) Configuration Management (CM)</t>
  </si>
  <si>
    <t>Senior Leader Secure Communications Modernization (SLSCM)</t>
  </si>
  <si>
    <t> (U) Cable Security Fleet </t>
  </si>
  <si>
    <t> Special Operations Policy And Oversight Council</t>
  </si>
  <si>
    <t>Special Operations Forces Joint Combined Exchange Training Program</t>
  </si>
  <si>
    <t>Special Operations Forces Foreign Language, Regional Expertise, and Culture Policy</t>
  </si>
  <si>
    <t>Support Agreements</t>
  </si>
  <si>
    <t>Nonappropriated Fund (NAF) Procurement Policy and Procedure</t>
  </si>
  <si>
    <t>Prohibition of the Sale Or Rental of Sexually Explicit Material on DoD Property</t>
  </si>
  <si>
    <t>Procurement of Sustainable Goods and Services</t>
  </si>
  <si>
    <t>Mobile Electric Power Systems (MEPS)</t>
  </si>
  <si>
    <t>Designating And Naming Military Aerospace Vehicles</t>
  </si>
  <si>
    <t>Defense Standardization Program</t>
  </si>
  <si>
    <t>DoD Supply Chain Materiel Management Policy</t>
  </si>
  <si>
    <t>DoD Management Policy for Energy Commodities and Related Services</t>
  </si>
  <si>
    <t>National Guard and Reserve Equipment Report</t>
  </si>
  <si>
    <t>Material Potentially Presenting An Explosive Hazard (MPPEH)</t>
  </si>
  <si>
    <t>Management of DoD Clothing and Textiles (Class II)</t>
  </si>
  <si>
    <t>Registration and End-Use Monitoring of Defense Articles and/or Defense Services</t>
  </si>
  <si>
    <t>DoD Counterfeit Prevention Policy</t>
  </si>
  <si>
    <t>Engineering Support Instructions for Items Supplied by Defense Logistics Agency (DLA)</t>
  </si>
  <si>
    <t>Management of DoD Construction and Barrier Material</t>
  </si>
  <si>
    <t>Asset Physical Accountability Policy</t>
  </si>
  <si>
    <t>DoD Contractor's Safety Requirements for Ammunition and Explosives</t>
  </si>
  <si>
    <t>DoD Pest Management Program</t>
  </si>
  <si>
    <t>Serialized Item Management (SIM) for Life-Cycle Management of Materiel</t>
  </si>
  <si>
    <t>Depot Maintenance Core Capabilities Determination Process</t>
  </si>
  <si>
    <t>Public-Private Partnerships for Product Support</t>
  </si>
  <si>
    <t>Condition-Based Maintenance Plus for Materiel Maintenance</t>
  </si>
  <si>
    <t>Depot Source of Repair Assignment Determination Process</t>
  </si>
  <si>
    <t>DoD Inter-Service Depot Maintenance </t>
  </si>
  <si>
    <t>DoD Demilitarization Program</t>
  </si>
  <si>
    <t>Accountability and Management of Government Contract Property</t>
  </si>
  <si>
    <t>DoD Real Property Categorization</t>
  </si>
  <si>
    <t>Real Property Inventory and Reporting</t>
  </si>
  <si>
    <t>Relocatable Facilities</t>
  </si>
  <si>
    <t>Air Installations Compatible Use Zones</t>
  </si>
  <si>
    <t>DoD Housing</t>
  </si>
  <si>
    <t>Shelter for the Homeless Program</t>
  </si>
  <si>
    <t>Revitalizing Base Closure Communities and Community Assistance - Community Redevelopment and Homeless Assistance</t>
  </si>
  <si>
    <t>Return of DoD Sites Overseas</t>
  </si>
  <si>
    <t>Real Property Management</t>
  </si>
  <si>
    <t>Real Property Acquisition</t>
  </si>
  <si>
    <t>Real Property Disposal</t>
  </si>
  <si>
    <t>Installation Energy Management</t>
  </si>
  <si>
    <t>DoD Military Aviation and Installation Assurance Siting Clearinghouse</t>
  </si>
  <si>
    <t>DoD Small Business Programs (SBP)</t>
  </si>
  <si>
    <t>DoD Value Engineering (VE) Program</t>
  </si>
  <si>
    <t>Diminishing Manufacturing Sources and Material Shortages Management</t>
  </si>
  <si>
    <t>Acquisition, Management, and Use of Non-Tactical Vehicles</t>
  </si>
  <si>
    <t>Operational Support Airlift</t>
  </si>
  <si>
    <t>DoD Commercial Air Transportation Quality and Safety Review Program</t>
  </si>
  <si>
    <t>Air Transportation Eligibility</t>
  </si>
  <si>
    <t>Washington Local Commuting Area</t>
  </si>
  <si>
    <t>Use of General Services Administration (GSA) Contracts for Air Passenger Transportation Services (GSA Airline City Pair Program) for Attendance At Inactive Duty Training (IDT) Assemblies</t>
  </si>
  <si>
    <t>(U) Gate Keeper</t>
  </si>
  <si>
    <t>DoD Support for Congressional Funerals</t>
  </si>
  <si>
    <t>Military Postal Service</t>
  </si>
  <si>
    <t>Use of International Airspace by U.S. Military Aircraft and for Missile and Projectile Firings</t>
  </si>
  <si>
    <t>DoD Transportation of U.S. Nuclear Weapons</t>
  </si>
  <si>
    <t>Operation of the DoD Engineering for Transportability and Deployability Program</t>
  </si>
  <si>
    <t>Communications Waveform Management and Standardization</t>
  </si>
  <si>
    <t>Telecommunications Services in the National Capital Region (NCR)</t>
  </si>
  <si>
    <t>Policy and Procedures for Management and Use of the Electromagnetic Spectrum</t>
  </si>
  <si>
    <t>Military Auxiliary Radio System</t>
  </si>
  <si>
    <t>Positioning, Navigation, and Timing Management</t>
  </si>
  <si>
    <t>Positioning, Navigation, and Timing and Navigation Warfare</t>
  </si>
  <si>
    <t>Land Mobile Radio (LMR) Interoperability and Standardization</t>
  </si>
  <si>
    <t>(U) Encryption of Imagery Transmitted by Airborne Systems and Unmanned Aircraft Control Communications</t>
  </si>
  <si>
    <t>DoD Interactions with Federally Recognized Tribes</t>
  </si>
  <si>
    <t>Consultation with Native Hawaiian Organizations (NHOs)</t>
  </si>
  <si>
    <t>Regional Environmental Coordination</t>
  </si>
  <si>
    <t>Natural Resources Conservation Program</t>
  </si>
  <si>
    <t>Environmental Compliance at Installations Outside the United States</t>
  </si>
  <si>
    <t>Environmental Compliance in the United States</t>
  </si>
  <si>
    <t>Defense Environmental Restoration Program (DERP)</t>
  </si>
  <si>
    <t>Remediation of Environmental Contamination Outside the United States</t>
  </si>
  <si>
    <t>DoD Operational Noise Program</t>
  </si>
  <si>
    <t>Operational Range Assessments</t>
  </si>
  <si>
    <t>Environmental Quality Systems</t>
  </si>
  <si>
    <t>Cultural Resources Management</t>
  </si>
  <si>
    <t>Environmental Management Systems</t>
  </si>
  <si>
    <t>Emerging Chemicals of Environmental Concern</t>
  </si>
  <si>
    <t>Use of Open-Air Burn Pits in Contingency Operations</t>
  </si>
  <si>
    <t>Environmental Management Policy for Contingency Locations</t>
  </si>
  <si>
    <t>Integrated Recycling and Solid Waste Management</t>
  </si>
  <si>
    <t>The Readiness and Environmental Protection Integration (REPI) Program and Encroachment Management</t>
  </si>
  <si>
    <t>DoD Low-Level Radioactive Waste (LLRW) Program</t>
  </si>
  <si>
    <t>Operation of the Adaptive Acquisition Framework</t>
  </si>
  <si>
    <t>Pentagon Executive Dining Facilities</t>
  </si>
  <si>
    <t>Defense Acquisition Regulations (DAR) System</t>
  </si>
  <si>
    <t>Programming Geospatial-Intelligence (GEOINT), Geospatial Information and Services (GI&amp;S), and Geodesy Requirements for Developing Systems</t>
  </si>
  <si>
    <t>Defense Acquisition University </t>
  </si>
  <si>
    <t>Defense Industrial Base Assessments</t>
  </si>
  <si>
    <t>DoD Modeling and Simulation (M&amp;S) Verification, Validation, and Accreditation (VV&amp;A)</t>
  </si>
  <si>
    <t>Accountability and Management of DoD Equipment and Other Accountable Property</t>
  </si>
  <si>
    <t>Defense Acquisition Workforce Education, Training, Experience, and Career Development Program</t>
  </si>
  <si>
    <t>Prevention and Mitigation of Corrosion on DoD Military Equipment and Infrastructure</t>
  </si>
  <si>
    <t>Security Force Assistance (SFA)</t>
  </si>
  <si>
    <t>Joint Services Weapon and Laser System Safety Review Processes</t>
  </si>
  <si>
    <t>Management of DoD Modeling and Simulation (M&amp;S) Activities</t>
  </si>
  <si>
    <t>DoD Standard for Contracting Officer's Representative (COR) Certification</t>
  </si>
  <si>
    <t>Cost Analysis Guidance and Procedures</t>
  </si>
  <si>
    <t>Defense Acquisition of Services</t>
  </si>
  <si>
    <t>Business Systems Requirements and Acquisition</t>
  </si>
  <si>
    <t>Accountability and Management of Internal Use Software (IUS)</t>
  </si>
  <si>
    <t>DoD Federally Funded Research and Development Center (FFRDC) Program</t>
  </si>
  <si>
    <t>Defense-Wide Sharing and Use of Supplier and Product Performance Information (PI)</t>
  </si>
  <si>
    <t>Operation of the Middle Tier of Acquisition (MTA)</t>
  </si>
  <si>
    <t>Urgent Capability Acquisition</t>
  </si>
  <si>
    <t>Requirements for the Acquisition of Digital Capabilities</t>
  </si>
  <si>
    <t>Technology and Program Protection to Maintain Technological Advantage</t>
  </si>
  <si>
    <t> Analysis of Alternatives</t>
  </si>
  <si>
    <t> Major Capability Acquisition</t>
  </si>
  <si>
    <t>Acquisition Intelligence</t>
  </si>
  <si>
    <t>Operation of the Software Acquisition Pathway</t>
  </si>
  <si>
    <t>Engineering of Defense Systems</t>
  </si>
  <si>
    <t>Test and Evaluation</t>
  </si>
  <si>
    <t>Cybersecurity for Acquisition Decision Authorities and Program Managers</t>
  </si>
  <si>
    <t>Product Support Management for the Adaptive Acquisition  Framework</t>
  </si>
  <si>
    <t>Innovation and Technology to Sustain Materiel Readiness</t>
  </si>
  <si>
    <t>Use of Additive Manufacturing in the DoD</t>
  </si>
  <si>
    <t>Use of Robotic Systems for Manufacturing and Sustainment in the DoD</t>
  </si>
  <si>
    <t>Human Systems Integration in Defense Acquisition</t>
  </si>
  <si>
    <t>Digital Engineering</t>
  </si>
  <si>
    <t>Managers' Internal Control Program Procedures</t>
  </si>
  <si>
    <t>Joint Test and Evaluation (JT&amp;E) Program</t>
  </si>
  <si>
    <t>Implementation and Management of the DoD-Wide Continuous Process Improvement/Lean Six Sigma (CPI/LSS) Program</t>
  </si>
  <si>
    <t>Intellectual Property (IP) Acquisition and Licensing</t>
  </si>
  <si>
    <t>DoD Records Management Program</t>
  </si>
  <si>
    <t>DoD Issuances Program</t>
  </si>
  <si>
    <t>Standardization of Military and Associated Terminology</t>
  </si>
  <si>
    <t>DoD Plain Language Program</t>
  </si>
  <si>
    <t>DoD Guidance for Implementation of the National Vessel of Interest (NVOI) Lexicon</t>
  </si>
  <si>
    <t>Coordination of Significant Litigation and Other Matters Involving the Department of Justice</t>
  </si>
  <si>
    <t>Disclosure of Atomic Information to Foreign Governments and Regional Defense Organizations</t>
  </si>
  <si>
    <t>Emergency Security Control of Air Traffic (ESCAT)</t>
  </si>
  <si>
    <t>Significant Military Exercises and Freedom of Navigation Assertions in Politically Sensitive Areas (U)</t>
  </si>
  <si>
    <t>Reimbursement for General Services Administration (GSA) Space, Services, and Facilities; and Department of Homeland Security (DHS), Washington Headquarters Services (WHS), and Pentagon Force Protection Agency (PFPA) Services</t>
  </si>
  <si>
    <t>DoD Consumer Affairs Program</t>
  </si>
  <si>
    <t>Special Warnings to Mariners</t>
  </si>
  <si>
    <t>National Geospatial-Intelligence Agency (NGA) LIMITED DISTRIBUTION Geospatial Intelligence (GEOINT)</t>
  </si>
  <si>
    <t>Reimbursable Project Work Authorization (Above Standard Orders) Procedures for Washington Headquarters Services-Owned and Delegated Leased Facilities</t>
  </si>
  <si>
    <t>Combined Federal Campaign Fundraising Within the DoD</t>
  </si>
  <si>
    <t>Visual Information (VI)</t>
  </si>
  <si>
    <t>Visual Information (VI) Productions</t>
  </si>
  <si>
    <t>Implementation of the Correspondence and Task Management System (CATMS)</t>
  </si>
  <si>
    <t>(U) Defense Special Missile and Aerospace Center (DEFSMAC)</t>
  </si>
  <si>
    <t>DoD Foreign Tax Relief Program</t>
  </si>
  <si>
    <t>Major DoD Headquarters Activities</t>
  </si>
  <si>
    <t>Safeguarding Sensitive Conventional Arms, Ammunition, and Explosives (AA&amp;E)</t>
  </si>
  <si>
    <t>(U) Defense and National Leadership Command Capability (DNLCC) Governance</t>
  </si>
  <si>
    <t>Defense Counterintelligence (CI) and Human Intelligence (HUMINT) Center (DCHC)</t>
  </si>
  <si>
    <t>Oversight, Coordination, Assessment, and Reporting of DoD Intelligence and Intelligence-Related Sensitive Activities</t>
  </si>
  <si>
    <t>Human Intelligence (HUMINT) Training-Joint Center of Excellence (HT-JCOE)</t>
  </si>
  <si>
    <t>DoD Medical Materiel Management </t>
  </si>
  <si>
    <t>Department of Defense Federal Advisory Committee Management Program</t>
  </si>
  <si>
    <t>DoD Intergovernmental and Intragovernmental Committee Management Program</t>
  </si>
  <si>
    <t>(U) Defense Attach Service (DAS)</t>
  </si>
  <si>
    <t>Uniformed Services University of the Health Sciences</t>
  </si>
  <si>
    <t>Measurement and Signature Intelligence (MASINT)</t>
  </si>
  <si>
    <t>(U) Implementation of DoD Cover and Cover Support Activities</t>
  </si>
  <si>
    <t>Implementing Instructions for DoD Operations At U.S. Embassies (U)</t>
  </si>
  <si>
    <t>Raven Rock Mountain Complex (RRMC)</t>
  </si>
  <si>
    <t>Policy and Strategy Committee</t>
  </si>
  <si>
    <t>Section 2282 Global Train-and-Equip Authority</t>
  </si>
  <si>
    <t>State Partnership Program (SPP)</t>
  </si>
  <si>
    <t>DoD Newspapers, Magazines, Guides, and Installation Maps</t>
  </si>
  <si>
    <t>Armed Forces Chaplains Board</t>
  </si>
  <si>
    <t>American Forces Network Program</t>
  </si>
  <si>
    <t>DoD Wage Fixing Authority-Appropriated Fund and Nonappropriated Fund Compensation Programs</t>
  </si>
  <si>
    <t>Use of DoD Transportation Assets for Public Affairs Purposes</t>
  </si>
  <si>
    <t>Center for Countermeasures</t>
  </si>
  <si>
    <t>Staffing of Security Cooperation Organizations (SCOs) and the Selection and Training of Security Cooperation Personnel</t>
  </si>
  <si>
    <t>Assessment, Monitoring, and Evaluation Policy for the Security Cooperation Enterprise</t>
  </si>
  <si>
    <t>Implementation of the Security Cooperation Workforce Certification Program</t>
  </si>
  <si>
    <t>Director of Small Business Programs</t>
  </si>
  <si>
    <t>Oversight of the DoD Personnel Security Programs</t>
  </si>
  <si>
    <t>Alternative Dispute Resolution (ADR) and Conflict Management</t>
  </si>
  <si>
    <t>Armed Forces Medical Examiner System (AFMES) Operations</t>
  </si>
  <si>
    <t>Commercial Travel Management: Defense Travel Management Office</t>
  </si>
  <si>
    <t>Commercial Travel Management: General Travel Provisions</t>
  </si>
  <si>
    <t>Commercial Travel Management: Defense Travel System (DTS)</t>
  </si>
  <si>
    <t>Commercial Travel Management: DoD Government Travel Charge Card (GTCC) Program</t>
  </si>
  <si>
    <t>Commercial Travel Management: The Per Diem, Travel and Transportation Allowance Committee (PDTATAC)</t>
  </si>
  <si>
    <t>Commercial Travel Management: Uniformed Services Housing and Station Allowances</t>
  </si>
  <si>
    <t>Joint Deployment and Distribution Enterprise (JDDE) Planning and Operations</t>
  </si>
  <si>
    <t>Delegation of Powers to the Secretaries of the Military Departments to Make Determinations Under the Social Security Act and Federal Insurance Contributions Act</t>
  </si>
  <si>
    <t>DoD Public Affairs and Visual Information (PA&amp;VI) Education and Training (E&amp;T)</t>
  </si>
  <si>
    <t>Single Manager for Conventional Ammunition</t>
  </si>
  <si>
    <t>Management of the Defense Language, Regional Expertise, and Culture (LREC) Program</t>
  </si>
  <si>
    <t>DoD Language Testing Program</t>
  </si>
  <si>
    <t>DoD Information Security Program and Protection of Sensitive Compartmented Information (SCI)</t>
  </si>
  <si>
    <t>DoD Personnel Security Program (PSP)</t>
  </si>
  <si>
    <t>Security of DoD Installations and Resources and the DoD Physical Security Review Board (PSRB)</t>
  </si>
  <si>
    <t>(U) Objectives and Minimum Standards for Communications Security (COMSEC) Measures Used in Nuclear Command and Control (NC2) Communications</t>
  </si>
  <si>
    <t>Defense Courier Operations (DCO)</t>
  </si>
  <si>
    <t>Critical Program Information (CPI) Identification and Protection Within Research, Development, Test, and Evaluation (RDT&amp;E)</t>
  </si>
  <si>
    <t>Defense Human Intelligence (HUMINT) and Related Intelligence Activities (U)</t>
  </si>
  <si>
    <t>Protection of Mission Critical Functions to Achieve Trusted Systems and Networks (TSN)</t>
  </si>
  <si>
    <t>DoD Investigative and Adjudicative Guidance for Issuing the Common Access Card (CAC)</t>
  </si>
  <si>
    <t>Controlled Unclassified Information (CUI)</t>
  </si>
  <si>
    <t>Oversight of the Collection and Exchange of Information Using the Government-Industry Data Exchange Program</t>
  </si>
  <si>
    <t>(U) DoD Foreign Military Intelligence Collection Activities (FORMICA)</t>
  </si>
  <si>
    <t>Access to U.S. Classified Cryptographic Information</t>
  </si>
  <si>
    <t>Management, Administration, and Oversight of DoD Special Access Programs (SAPs)</t>
  </si>
  <si>
    <t>Defense Industrial Base (DIB) Cybersecurity (CS) Activities</t>
  </si>
  <si>
    <t>DoD Insider Threat Management and Analysis Center (DITMAC)</t>
  </si>
  <si>
    <t>(U) DoD Cover and Cover Support Activities in Cyberspace</t>
  </si>
  <si>
    <t>Enhanced Security Program to Support the DoD Innovation Initiative</t>
  </si>
  <si>
    <t>Defense Intelligence and Counterintelligence Expense Authority</t>
  </si>
  <si>
    <t>Mitigating Risks Related to Foreign Ownership, Control, or Influence for Covered DoD Contractors</t>
  </si>
  <si>
    <t>Access to and Dissemination of Restricted Data and Formerly Restricted Data</t>
  </si>
  <si>
    <t>DoD Nuclear Weapons Personnel Reliability Assurance</t>
  </si>
  <si>
    <t>Personnel Security Policies and Procedures for Sensitive Cryptologic Information in the National Security Agency/Central Security Service</t>
  </si>
  <si>
    <t>Security Clearance Program for U.S. Citizens Employed Directly by the North Atlantic Treaty Organization (NATO)</t>
  </si>
  <si>
    <t>DoD Procedures for Security of Nuclear Reactors and Special Nuclear Materials (SNM)</t>
  </si>
  <si>
    <t>Security Standards for Safeguarding DoD Chemical Agents</t>
  </si>
  <si>
    <t>Special Nuclear Material Information, Security Classification Guidance</t>
  </si>
  <si>
    <t>(U) Protection of Nuclear Weapons Coding Equipment</t>
  </si>
  <si>
    <t>DoD Unclassified Controlled Nuclear Information (UCNI)</t>
  </si>
  <si>
    <t>Security of DoD Personnel At U.S. Missions Abroad</t>
  </si>
  <si>
    <t>Selection of DoD Military and Civilian Personnel and Contractor Employees for Assignment to Presidential Support Activities (PSAs)</t>
  </si>
  <si>
    <t>Security Standards for Safeguarding Biological Select Agents and Toxins</t>
  </si>
  <si>
    <t>Polygraph and Credibility Assessment (PCA) Procedures</t>
  </si>
  <si>
    <t>National Industrial Security Program</t>
  </si>
  <si>
    <t>Clearance of DoD Information for Public Release</t>
  </si>
  <si>
    <t>Public Affairs Guidance for Nuclear Weapon and Radiological Material Incidents</t>
  </si>
  <si>
    <t>Distribution Statements on DoD Technical Information</t>
  </si>
  <si>
    <t>Presentation of DoD-Related Scientific and Technical Papers At Meetings</t>
  </si>
  <si>
    <t>Policy for Low Observable (LO) and Counter Low Observable (CLO) Programs (U)</t>
  </si>
  <si>
    <t>Security and Policy Review of DoD Information for Public Release</t>
  </si>
  <si>
    <t>Counterintelligence (CI) Investigations</t>
  </si>
  <si>
    <t>Technical Surveillance Countermeasures (TSCM)</t>
  </si>
  <si>
    <t>Counterintelligence (CI) Security Classification Guide (U)</t>
  </si>
  <si>
    <t>(U) Offensive Counterintelligence Operations (OFCO)</t>
  </si>
  <si>
    <t>Counterintelligence (CI) in the DoD Components (This website is not authorized to post controlled documents. DoD PKI certificate required to access this document.)</t>
  </si>
  <si>
    <t>(U) Counterintelligence Collection Activities (CCA)</t>
  </si>
  <si>
    <t>Counterintelligence (CI) Analysis and Production</t>
  </si>
  <si>
    <t>Counterintelligence Support to the Defense Critical Infrastructure Program (DCIP)</t>
  </si>
  <si>
    <t>Counterintelligence Support to Counterterrorism and Force Protection</t>
  </si>
  <si>
    <t>(U) Counterintelligence (CI) Activities in Cyberspace</t>
  </si>
  <si>
    <t>Counterintelligence (CI) Activities Supporting Research, Development, and Acquisition (RDA)</t>
  </si>
  <si>
    <t>Countering Espionage, International Terrorism, and the Counterintelligence (CI) Insider Threat</t>
  </si>
  <si>
    <t>Joint Counterintelligence Training Activity (JCITA)</t>
  </si>
  <si>
    <t>Space Management Procedures for the National Capital Region and Washington Headquarters Services-Serviced Components </t>
  </si>
  <si>
    <t>Single Manager of DoD Document Services</t>
  </si>
  <si>
    <t>(U) Operation and Management of the Pentagon Helipad</t>
  </si>
  <si>
    <t>Provision of Information to Congress</t>
  </si>
  <si>
    <t>DoD Privacy and Civil Liberties Programs</t>
  </si>
  <si>
    <t>Public Affairs (PA) Operations</t>
  </si>
  <si>
    <t>Procedures for Joint Public Affairs Operations</t>
  </si>
  <si>
    <t>Guidance on Obtaining Information from Financial Institutions</t>
  </si>
  <si>
    <t>DoD Privacy Impact Assessment (PIA) Guidance</t>
  </si>
  <si>
    <t>Official Use of Social Media for Public Affairs Purposes</t>
  </si>
  <si>
    <t> Public Affairs Procedures And Operations For Political Campaigns And Elections</t>
  </si>
  <si>
    <t>Development, Submission, and Approval of Proposed Public Affairs Guidance (PPAG)</t>
  </si>
  <si>
    <t>Release of Information Concerning Accidents Involving Military Personnel Or Equipment Or Concerning Senior Personnel</t>
  </si>
  <si>
    <t>DoD Assistance to Non-Government, Entertainment-Oriented Media Productions</t>
  </si>
  <si>
    <t>United States Field Studies Program (FSP) for International Military and Civilian Students and Military-Sponsored Visitors</t>
  </si>
  <si>
    <t>Community Outreach Activities: Policy Overview and Evaluation Procedures</t>
  </si>
  <si>
    <t>Community Outreach Activities: OSD Outreach Programs, Speaking Engagements, and Support to Non-DoD Organizations</t>
  </si>
  <si>
    <t>Community Outreach Activities: Honors to National Symbols; Annual Patriotic and Military Observances</t>
  </si>
  <si>
    <t>Community Outreach Activities: Ceremonial, Musical, and Aerial Event Support</t>
  </si>
  <si>
    <t>Naturalization of Aliens Serving in the Armed Forces of the United States and of Alien Spouses and/or Alien Adopted Children of Military and Civilian Personnel Ordered Overseas</t>
  </si>
  <si>
    <t>Relationship with the Surveys and Investigations (S&amp;I) Staff, House Appropriations Committee</t>
  </si>
  <si>
    <t>Role and Responsibilities of the Joint Service Committee on Military Justice (JSC)</t>
  </si>
  <si>
    <t>Criminal Investigations of Fraud Offenses</t>
  </si>
  <si>
    <t>Initiation of Investigations by Defense Criminal Investigative Organizations</t>
  </si>
  <si>
    <t> Titling and Indexing by DoD Law Enforcement Activities</t>
  </si>
  <si>
    <t>Communication Interception for Law Enforcement </t>
  </si>
  <si>
    <t>Criminal Investigations of Noncombat Deaths</t>
  </si>
  <si>
    <t>Fingerprint Reporting Requirements</t>
  </si>
  <si>
    <t>Anti-Fraud Program at Military Treatment Facilities (MTFs)</t>
  </si>
  <si>
    <t>DNA Collection and Submission Requirements for Law Enforcement</t>
  </si>
  <si>
    <t>DoD Contractor Disclosure Program</t>
  </si>
  <si>
    <t>Investigations by DoD Components</t>
  </si>
  <si>
    <t>Personally Identifiable Information and Law Enforcement Information Handling by DoD Law Enforcement Activities</t>
  </si>
  <si>
    <t>Investigation of Adult Sexual Assault in the Department of Defense</t>
  </si>
  <si>
    <t>Establishment of Special Victim Investigation and Prosecution (SVIP) Capability Within the Military Criminal Investigative Organizations (MCIOS)</t>
  </si>
  <si>
    <t> Processing Evidence Into The National Integrated Ballistic Information Network In Connection With DOD Criminal Investigations</t>
  </si>
  <si>
    <t>Assignment of Claims Responsibility</t>
  </si>
  <si>
    <t>Foreign Criminal and Civil Jurisdiction</t>
  </si>
  <si>
    <t>Criminal Jurisdiction of Service Courts of Friendly Foreign Forces and Sending States in the United States</t>
  </si>
  <si>
    <t>Implementation of the Memorandum of Understanding Between the Departments of Justice and Defense Relating to the Investigation and Prosecution of Certain Crimes</t>
  </si>
  <si>
    <t>Service Member Participation on State and Local Juries</t>
  </si>
  <si>
    <t>Compliance with Court Orders by Service Members and DoD Civilian Employees, and Their Family Members Outside the United States.</t>
  </si>
  <si>
    <t>Criminal Jurisdiction Over Civilians Employed by Or Accompanying the Armed Forces Outside the United States, Certain Service Members, and Former Service Members</t>
  </si>
  <si>
    <t>Implementation of the Law Enforcement Officers Safety Act of 2004, as amended (LEOSA)</t>
  </si>
  <si>
    <t>Deputation of DoD Personnel</t>
  </si>
  <si>
    <t>DoD Law Enforcement Officers (LEOS) Flying Armed</t>
  </si>
  <si>
    <t>Law Enforcement (LE) Standards and Training in the DoD</t>
  </si>
  <si>
    <t>Law Enforcement Defense Data Exchange (LE D-DEx)</t>
  </si>
  <si>
    <t>Conservation Law Enforcement Program (CLEP)</t>
  </si>
  <si>
    <t>Law Enforcement Criminal Intelligence (CRIMINT) in DoD</t>
  </si>
  <si>
    <t>DoD Identity Matching Engine for Security and Analysis (IMESA) Access to Criminal Justice Information (CJI) and Terrorist Screening Databases (TSDB)</t>
  </si>
  <si>
    <t>Registered Sex Offender Management in DoD</t>
  </si>
  <si>
    <t>International Agreements</t>
  </si>
  <si>
    <t>DoD Domestic Technology Transfer Program</t>
  </si>
  <si>
    <t>Coordination of DoD Efforts to Identify, Evaluate, and Transfer DoD Technology Items, Equipment, and Services to Federal, State, and Local First Responders</t>
  </si>
  <si>
    <t>Availability of Samples, Drawings, Information, Equipment, Materials, and Certain Services to Non-DoD Persons and Entities</t>
  </si>
  <si>
    <t>DoD Branding and Trademark Licensing Program Implementation</t>
  </si>
  <si>
    <t>DoD Policy for Congressional Authorization and Appropriations Reporting Requirements</t>
  </si>
  <si>
    <t>Policy on the Congressional Reporting Process for Military Educational Institutions Seeking to Establish, Modify, or Redesignate Degrees</t>
  </si>
  <si>
    <t>Defense Health Program Research and Clinical Investigation Programs</t>
  </si>
  <si>
    <t>Patient Movement (PM)</t>
  </si>
  <si>
    <t>Accession and Retention Policies, Programs, and Incentives for Military Health Professions Officers (HPOs)</t>
  </si>
  <si>
    <t>DoD Patient Bill of Rights and Responsibilities in the Military Health System (MHS)</t>
  </si>
  <si>
    <t>Medical Modeling and Simulation Requirements Management</t>
  </si>
  <si>
    <t>Military Medical Treatment Facility Support of Medical Readiness Skills of Health Care Providers</t>
  </si>
  <si>
    <t>National Disaster Medical System (NDMS)</t>
  </si>
  <si>
    <t>DoD and Department of Veterans Affairs Health Care Resource Sharing Program</t>
  </si>
  <si>
    <t>Interagency Complex Care Coordination</t>
  </si>
  <si>
    <t>Military Health System (MHS) Facility Portfolio Management</t>
  </si>
  <si>
    <t>Foreign Military Personnel Care and Uniform Business Offices in Military Treatment Facilities (MTFs)</t>
  </si>
  <si>
    <t>DoD Graduate Medical Education Program</t>
  </si>
  <si>
    <t>Medical Quality Assurance and Clinical Quality Management in the Military Health System</t>
  </si>
  <si>
    <t>Health Insurance Portability and Accountability Act (HIPAA) Privacy Rule Compliance in DoD Health Care Programs</t>
  </si>
  <si>
    <t>Individual Medical Readiness Program</t>
  </si>
  <si>
    <t>Medical Management (MM) Programs in the Direct Care System (DCS) and Remote Areas</t>
  </si>
  <si>
    <t>Assistive Technology (AT) for Wounded, Ill, and Injured Service Members</t>
  </si>
  <si>
    <t>Health Care Eligibility Under the Secretarial Designee (SECDES) Program and Related Special Authorities</t>
  </si>
  <si>
    <t>Provision of Food and Beverages to Certain Uniformed Service Members, Former Members, and Dependents Not Receiving Inpatient Care in Medical Treatment Facilities (MTFS)</t>
  </si>
  <si>
    <t>Drug Take Back Program</t>
  </si>
  <si>
    <t>DoD Program for Combating Antibiotic-Resistant Bacteria (CARB)</t>
  </si>
  <si>
    <t>Medical Ethics In The Military Health System</t>
  </si>
  <si>
    <t>Personal Services Contracts (PSCs) for Health Care Providers (HCPs)</t>
  </si>
  <si>
    <t>Military Health System (MHS) Data Quality Management Control (DQMC) Program</t>
  </si>
  <si>
    <t>Management Standards for Medical Coding of DoD Health Records</t>
  </si>
  <si>
    <t>Physical Disability Board of Review (PDBR)</t>
  </si>
  <si>
    <t>DoD Health Record Life Cycle Management</t>
  </si>
  <si>
    <t>The Separation History and Physical Examination (SHPE) for the DoD Separation Health Assessment (SHA) Program</t>
  </si>
  <si>
    <t>Joint Trauma System</t>
  </si>
  <si>
    <t>Personal Health Records (PHR) and Patient- Controlled Data</t>
  </si>
  <si>
    <t>DoD Hazard Communication (HAZCOM) Program</t>
  </si>
  <si>
    <t>DoD Safety and Occupational Health (SOH) Program</t>
  </si>
  <si>
    <t>DoD Motor Vehicle and Traffic Safety</t>
  </si>
  <si>
    <t>Occupational and Environmental Health (OEH)</t>
  </si>
  <si>
    <t>DoD Fire and Emergency Services (F&amp;ES) Program</t>
  </si>
  <si>
    <t>Mishap Notification, Investigation, Reporting, and Record Keeping</t>
  </si>
  <si>
    <t>Occupational Ionizing Radiation Protection Program</t>
  </si>
  <si>
    <t>Protecting Personnel from Electromagnetic Fields</t>
  </si>
  <si>
    <t>Hearing Conservation Program </t>
  </si>
  <si>
    <t>DoD Laser Protection Program for Military Lasers</t>
  </si>
  <si>
    <t>Explosives Safety Management Program</t>
  </si>
  <si>
    <t>DoD Emergency Management (EM) Program</t>
  </si>
  <si>
    <t>Aviation Hazard Identification and Risk Assessment Programs (AHIRAPs)</t>
  </si>
  <si>
    <t>Assessment of Significant Long-Term Health Risks From Past Environmental Exposures on Military Installations</t>
  </si>
  <si>
    <t>Child Development Programs (CDPS)</t>
  </si>
  <si>
    <t>Youth Services (YS) Policy</t>
  </si>
  <si>
    <t>Medical Standards for Military Service: Appointment, Enlistment, or Induction</t>
  </si>
  <si>
    <t>Medical Standards for Military Service: Retention</t>
  </si>
  <si>
    <t>DoD Nutrition Committee</t>
  </si>
  <si>
    <t>Use of Dietary Supplements in the DoD</t>
  </si>
  <si>
    <t>Application of Food and Drug Administration (FDA) Rules to Department of Defense Force Health Protection Programs</t>
  </si>
  <si>
    <t>Public Health Emergency Management (PHEM) Within the DoD</t>
  </si>
  <si>
    <t>Force Health Protection Quality Assurance (FHPQA) Program</t>
  </si>
  <si>
    <t>Periodic Health Assessment (PHA) Program</t>
  </si>
  <si>
    <t>Delivery of Direct Health Care to Non-Detainee Host Nation (HN) Civilians</t>
  </si>
  <si>
    <t>DoD Immunization Program </t>
  </si>
  <si>
    <t>Healthcare Management for Patients Associated with a Sexual Assault</t>
  </si>
  <si>
    <t>Family Advocacy Program (FAP)</t>
  </si>
  <si>
    <t>Family Advocacy Command Assistance Team (FACAT)</t>
  </si>
  <si>
    <t>New Parent Support Program (NPSP)</t>
  </si>
  <si>
    <t>DoD Coordinated Community Response to Domestic Abuse Involving DoD Military and Certain Affiliated Personnel</t>
  </si>
  <si>
    <t>Standards for Victim Assistance Services in the Military Community</t>
  </si>
  <si>
    <t>DoD Policy on Integrated Primary Prevention of Self-Directed Harm and Prohibited Abuse or Harm</t>
  </si>
  <si>
    <t>DoD Coordinated Community Response to Problematic Sexual Behavior in Children and Youth</t>
  </si>
  <si>
    <t>DoD Integrated Primary Prevention Policy for Prevention Workforce and Leaders</t>
  </si>
  <si>
    <t>National Center for Medical Intelligence (NCMI)</t>
  </si>
  <si>
    <t>Defense Medical Logistics Program</t>
  </si>
  <si>
    <t>Clinical Laboratory Improvement Program (CLIP)</t>
  </si>
  <si>
    <t>DoD Laboratory Network (DLN)</t>
  </si>
  <si>
    <t>Erythrocyte Glucose-6-Phosphate Dehydrogenase Deficiency (G6PD) and Sickle Cell Trait Screening Programs</t>
  </si>
  <si>
    <t>Anatomic Gifts and Tissue Donation</t>
  </si>
  <si>
    <t>Armed Services Blood Program</t>
  </si>
  <si>
    <t>Human Immunodeficiency Virus (HIV) in Military Service Members</t>
  </si>
  <si>
    <t>Deployment Health</t>
  </si>
  <si>
    <t>Mental Health Evaluations of Members of the Military Services</t>
  </si>
  <si>
    <t>Maintenance of Psychological Health in Military Operations</t>
  </si>
  <si>
    <t>Counseling Services for DoD Military, Guard and Reserve, Certain Affiliated Personnel, and Their Family Members</t>
  </si>
  <si>
    <t>Deployment-Limiting Medical Conditions for Service Members and DoD Civilian Employees</t>
  </si>
  <si>
    <t>Command Notification Requirements to Dispel Stigma in Providing Mental Health Care to Service Members</t>
  </si>
  <si>
    <t>DoD Directors of Psychological Health</t>
  </si>
  <si>
    <t>Continuity of Behavioral Health Care for Transferring and Transitioning Service Members</t>
  </si>
  <si>
    <t>DoD Policy Guidance for Management of Mild Traumatic Brain Injury/Concussion in the Deployed Setting</t>
  </si>
  <si>
    <t>Comprehensive Policy on Traumatic Brain Injury-Related Neurocognitive Assessments by the Military Services</t>
  </si>
  <si>
    <t>Integration of Behavioral Health Personnel (BHP) Services Into Patient-Centered Medical Home (PCMH) Primary Care and Other Primary Care Service Settings</t>
  </si>
  <si>
    <t>Defense Suicide Prevention Program</t>
  </si>
  <si>
    <t>Sexual Assault Prevention and Response: Program Procedures</t>
  </si>
  <si>
    <t>Sexual Assault Prevention and Response: Education and Training</t>
  </si>
  <si>
    <t>Sexual Assault Prevention and Response: Retaliation Response for Adult Sexual Assault Cases</t>
  </si>
  <si>
    <t>Defense Sexual Assault Advocate Certification Program (D-SAACP)</t>
  </si>
  <si>
    <t>Department of Defense Financial Management Policy</t>
  </si>
  <si>
    <t>Economic Analysis for Decision-making</t>
  </si>
  <si>
    <t>Estimating and Comparing the Full Costs of Civilian and Active Duty Military Manpower and Contract Support</t>
  </si>
  <si>
    <t>DoD Hotline Program</t>
  </si>
  <si>
    <t>Office of the Inspector General of the Department of Defense Access to Records and Information</t>
  </si>
  <si>
    <t>Coordination of Remedies for Fraud and Corruption Related to Procurement Activities</t>
  </si>
  <si>
    <t>Uniform Standards for Evaluating and Investigating Military Reprisal or Restriction Complaints</t>
  </si>
  <si>
    <t>International Cooperative Administrative Support Services (ICASS)</t>
  </si>
  <si>
    <t>Leases and Demonstrations of DoD Equipment</t>
  </si>
  <si>
    <t>Use of Appropriated Funds for Official Representation Purposes</t>
  </si>
  <si>
    <t>Audit Policies</t>
  </si>
  <si>
    <t>Audit of Nonappropriated Fund Instrumentalities and Related Activities</t>
  </si>
  <si>
    <t>Follow-Up and Oversight on Single Audits</t>
  </si>
  <si>
    <t>Policy for Follow-Up on Contract Audit Reports</t>
  </si>
  <si>
    <t>Government Accountability Office (GAO) and Comptroller General Requests for Access to Records</t>
  </si>
  <si>
    <t>Engaging with the Government Accountability Office (GAO) on GAO Audits</t>
  </si>
  <si>
    <t>Follow-up on Inspector General of the Department of Defense (IG DoD) and Internal Audit Reports</t>
  </si>
  <si>
    <t>Commissary Surcharge, Nonappropriated Fund (NAF), and Privately Financed Construction Reporting Procedures</t>
  </si>
  <si>
    <t>Commissary Surcharge, Nonappropriated Fund (NAF), and Privately Financed Construction Policy</t>
  </si>
  <si>
    <t>Recurring Reports of Civilian Employment and Payrolls</t>
  </si>
  <si>
    <t>Defense Incident-Based Reporting System (DIBRS)</t>
  </si>
  <si>
    <t>Automated Extracts of Manpower and Unit Organizational Element Files</t>
  </si>
  <si>
    <t>Guidance for the Defense Readiness Reporting System (DRRS)</t>
  </si>
  <si>
    <t>Aviation Incentive Pays and Bonus Program</t>
  </si>
  <si>
    <t>Uniformed Services Human Resources Information System </t>
  </si>
  <si>
    <t>Information Requirements for Semiannual Report to the Congress</t>
  </si>
  <si>
    <t>DoD Forms Management Program</t>
  </si>
  <si>
    <t>Reporting Requirements for Retired Uniformed Service Pay File Extracts</t>
  </si>
  <si>
    <t>Uniformed Services Pay File</t>
  </si>
  <si>
    <t>Department of Defense Information Network (DODIN) Transport</t>
  </si>
  <si>
    <t>DoD Unified Capabilities (UC)</t>
  </si>
  <si>
    <t>Mission Partner Environment Information Sharing Capability Implementation for the DoD</t>
  </si>
  <si>
    <t>Information Technology Portfolio Management Implementation</t>
  </si>
  <si>
    <t>Installation Geospatial Information and Services (IGI&amp;S)</t>
  </si>
  <si>
    <t>Identification, Tracking, and Reporting of Cyberspace Workforce Requirements</t>
  </si>
  <si>
    <t>DoD Information Assurance Scholarship Program</t>
  </si>
  <si>
    <t>Online Information Management and Electronic Messaging</t>
  </si>
  <si>
    <t>The Global Force Management Data Initiative (GFM DI)</t>
  </si>
  <si>
    <t>Military Health System (MHS) Support for DoD Strategic Analysis</t>
  </si>
  <si>
    <t>Information Technology Standards in the DoD</t>
  </si>
  <si>
    <t>Sharing Data, Information, and Technology (IT) Services in the Department of Defense</t>
  </si>
  <si>
    <t>Unique Identification (UID) Standards for Supporting the DoD Information Enterprise</t>
  </si>
  <si>
    <t>Item Unique Identification (IUID) Standards for Tangible Personal Property</t>
  </si>
  <si>
    <t>Electromagnetic Spectrum Data Sharing</t>
  </si>
  <si>
    <t>Organization Unique Identification (OUID) Standards for Unique Identification of External Department of Defense Business Partners</t>
  </si>
  <si>
    <t>Implementing the Sharing of Data, Information, and Information Technology (IT) Services in the Department of Defense</t>
  </si>
  <si>
    <t>Interoperability of Information Technology, Including National Security Systems</t>
  </si>
  <si>
    <t>Internet Domain Name and Internet Protocol Address Space Use and Approval</t>
  </si>
  <si>
    <t>Support to DoD Information Network Operations</t>
  </si>
  <si>
    <t>Network Management (NM)</t>
  </si>
  <si>
    <t>Commercial Wireless Local-Area Network (WLAN) Devices, Systems, and Technologies</t>
  </si>
  <si>
    <t>DoD Satellite Communications</t>
  </si>
  <si>
    <t>DoD Information Technology (IT) Service Management (ITSM)</t>
  </si>
  <si>
    <t>Cybersecurity</t>
  </si>
  <si>
    <t>Risk Management Framework for DoD Systems</t>
  </si>
  <si>
    <t>Public Key Infrastructure and Public Key Enabling</t>
  </si>
  <si>
    <t>Identity Authentication for Information Systems</t>
  </si>
  <si>
    <t>Communications Security</t>
  </si>
  <si>
    <t>Cybersecurity Activities Support to DoD Information Network Operations</t>
  </si>
  <si>
    <t>Cyber Incident Response </t>
  </si>
  <si>
    <t>DoD Vulnerability Management</t>
  </si>
  <si>
    <t>Cross Domain (CD) Policy</t>
  </si>
  <si>
    <t>Ports, Protocols, and Services Management</t>
  </si>
  <si>
    <t>Communications Security (COMSEC) Monitoring </t>
  </si>
  <si>
    <t>Information Assurance (IA) in the Defense Acquisition System</t>
  </si>
  <si>
    <t>Security of Individually Identifiable Health Information in DoD Health Care Programs</t>
  </si>
  <si>
    <t>Security of Non-DoD Information Systems Processing Unclassified Nonpublic DoD Information</t>
  </si>
  <si>
    <t>DoD Cyber Red Teams</t>
  </si>
  <si>
    <t>DoD Implementation of the Paperwork Reduction Act</t>
  </si>
  <si>
    <t>Series</t>
  </si>
  <si>
    <t>Number</t>
  </si>
  <si>
    <t>Document ID</t>
  </si>
  <si>
    <t>Document Status</t>
  </si>
  <si>
    <t>EFF DATE</t>
  </si>
  <si>
    <t>DOC TYPE</t>
  </si>
  <si>
    <t>TITLE</t>
  </si>
  <si>
    <t>03VOL1</t>
  </si>
  <si>
    <t>03VOL2</t>
  </si>
  <si>
    <t>03VOL3</t>
  </si>
  <si>
    <t>03VOL5</t>
  </si>
  <si>
    <t>03VOL6</t>
  </si>
  <si>
    <t>02VOL1</t>
  </si>
  <si>
    <t>02VOL2</t>
  </si>
  <si>
    <t>02VOL3</t>
  </si>
  <si>
    <t>02VOL4</t>
  </si>
  <si>
    <t>16VOL1</t>
  </si>
  <si>
    <t>16VOL2</t>
  </si>
  <si>
    <t>1000</t>
  </si>
  <si>
    <t>01</t>
  </si>
  <si>
    <t>04</t>
  </si>
  <si>
    <t>11</t>
  </si>
  <si>
    <t>13</t>
  </si>
  <si>
    <t>15</t>
  </si>
  <si>
    <t>17</t>
  </si>
  <si>
    <t>25</t>
  </si>
  <si>
    <t>27</t>
  </si>
  <si>
    <t>28</t>
  </si>
  <si>
    <t>30</t>
  </si>
  <si>
    <t>31</t>
  </si>
  <si>
    <t>32</t>
  </si>
  <si>
    <t>1005</t>
  </si>
  <si>
    <t>06</t>
  </si>
  <si>
    <t>14</t>
  </si>
  <si>
    <t>16</t>
  </si>
  <si>
    <t>1010</t>
  </si>
  <si>
    <t>09</t>
  </si>
  <si>
    <t>10</t>
  </si>
  <si>
    <t>1015</t>
  </si>
  <si>
    <t>08</t>
  </si>
  <si>
    <t>1020</t>
  </si>
  <si>
    <t>03</t>
  </si>
  <si>
    <t>05</t>
  </si>
  <si>
    <t>1025</t>
  </si>
  <si>
    <t>02</t>
  </si>
  <si>
    <t>07</t>
  </si>
  <si>
    <t>1030</t>
  </si>
  <si>
    <t>1035</t>
  </si>
  <si>
    <t>1100</t>
  </si>
  <si>
    <t>21</t>
  </si>
  <si>
    <t>22</t>
  </si>
  <si>
    <t>23</t>
  </si>
  <si>
    <t>24</t>
  </si>
  <si>
    <t>1110</t>
  </si>
  <si>
    <t>1120</t>
  </si>
  <si>
    <t>1125</t>
  </si>
  <si>
    <t>1145</t>
  </si>
  <si>
    <t>1200</t>
  </si>
  <si>
    <t>18</t>
  </si>
  <si>
    <t>1205</t>
  </si>
  <si>
    <t>12</t>
  </si>
  <si>
    <t>1215</t>
  </si>
  <si>
    <t>1225</t>
  </si>
  <si>
    <t>1235</t>
  </si>
  <si>
    <t>1241</t>
  </si>
  <si>
    <t>1250</t>
  </si>
  <si>
    <t>1300</t>
  </si>
  <si>
    <t>19</t>
  </si>
  <si>
    <t>26</t>
  </si>
  <si>
    <t>29</t>
  </si>
  <si>
    <t>1304</t>
  </si>
  <si>
    <t>33</t>
  </si>
  <si>
    <t>34</t>
  </si>
  <si>
    <t>35</t>
  </si>
  <si>
    <t>36</t>
  </si>
  <si>
    <t>1308</t>
  </si>
  <si>
    <t>1310</t>
  </si>
  <si>
    <t>1312</t>
  </si>
  <si>
    <t>1315</t>
  </si>
  <si>
    <t>20</t>
  </si>
  <si>
    <t>1320</t>
  </si>
  <si>
    <t>1322</t>
  </si>
  <si>
    <t>1325</t>
  </si>
  <si>
    <t>1327</t>
  </si>
  <si>
    <t>1330</t>
  </si>
  <si>
    <t>1332</t>
  </si>
  <si>
    <t>42</t>
  </si>
  <si>
    <t>43</t>
  </si>
  <si>
    <t>45</t>
  </si>
  <si>
    <t>46</t>
  </si>
  <si>
    <t>1334</t>
  </si>
  <si>
    <t>1336</t>
  </si>
  <si>
    <t>1338</t>
  </si>
  <si>
    <t>1340</t>
  </si>
  <si>
    <t>1341</t>
  </si>
  <si>
    <t>1342</t>
  </si>
  <si>
    <t>1344</t>
  </si>
  <si>
    <t>1348</t>
  </si>
  <si>
    <t>1350</t>
  </si>
  <si>
    <t>1352</t>
  </si>
  <si>
    <t>1354</t>
  </si>
  <si>
    <t>1400</t>
  </si>
  <si>
    <t>1402</t>
  </si>
  <si>
    <t>1403</t>
  </si>
  <si>
    <t>1430</t>
  </si>
  <si>
    <t>1438</t>
  </si>
  <si>
    <t>1442</t>
  </si>
  <si>
    <t>1444</t>
  </si>
  <si>
    <t>2000</t>
  </si>
  <si>
    <t>2010</t>
  </si>
  <si>
    <t>2015</t>
  </si>
  <si>
    <t>2030</t>
  </si>
  <si>
    <t>2035</t>
  </si>
  <si>
    <t>2040</t>
  </si>
  <si>
    <t>2060</t>
  </si>
  <si>
    <t>2200</t>
  </si>
  <si>
    <t>2205</t>
  </si>
  <si>
    <t>2310</t>
  </si>
  <si>
    <t>3000</t>
  </si>
  <si>
    <t>3001</t>
  </si>
  <si>
    <t>3002</t>
  </si>
  <si>
    <t>3003</t>
  </si>
  <si>
    <t>3020</t>
  </si>
  <si>
    <t>39</t>
  </si>
  <si>
    <t>41</t>
  </si>
  <si>
    <t>47</t>
  </si>
  <si>
    <t>48</t>
  </si>
  <si>
    <t>50</t>
  </si>
  <si>
    <t>51</t>
  </si>
  <si>
    <t>52</t>
  </si>
  <si>
    <t>3025</t>
  </si>
  <si>
    <t>3030</t>
  </si>
  <si>
    <t>3100</t>
  </si>
  <si>
    <t>3110</t>
  </si>
  <si>
    <t>3115</t>
  </si>
  <si>
    <t>3150</t>
  </si>
  <si>
    <t>3200</t>
  </si>
  <si>
    <t>3201</t>
  </si>
  <si>
    <t>3204</t>
  </si>
  <si>
    <t>3210</t>
  </si>
  <si>
    <t>3216</t>
  </si>
  <si>
    <t>3218</t>
  </si>
  <si>
    <t>3222</t>
  </si>
  <si>
    <t>3224</t>
  </si>
  <si>
    <t>3300</t>
  </si>
  <si>
    <t>3305</t>
  </si>
  <si>
    <t>3325</t>
  </si>
  <si>
    <t>3608</t>
  </si>
  <si>
    <t>3741</t>
  </si>
  <si>
    <t>3901</t>
  </si>
  <si>
    <t>3902</t>
  </si>
  <si>
    <t>4000</t>
  </si>
  <si>
    <t>4105</t>
  </si>
  <si>
    <t>67</t>
  </si>
  <si>
    <t>70</t>
  </si>
  <si>
    <t>72</t>
  </si>
  <si>
    <t>4120</t>
  </si>
  <si>
    <t>4140</t>
  </si>
  <si>
    <t>58</t>
  </si>
  <si>
    <t>62</t>
  </si>
  <si>
    <t>63</t>
  </si>
  <si>
    <t>66</t>
  </si>
  <si>
    <t>69</t>
  </si>
  <si>
    <t>71</t>
  </si>
  <si>
    <t>73</t>
  </si>
  <si>
    <t>4145</t>
  </si>
  <si>
    <t>4150</t>
  </si>
  <si>
    <t>4151</t>
  </si>
  <si>
    <t>4160</t>
  </si>
  <si>
    <t>4161</t>
  </si>
  <si>
    <t>4165</t>
  </si>
  <si>
    <t>56</t>
  </si>
  <si>
    <t>57</t>
  </si>
  <si>
    <t>65</t>
  </si>
  <si>
    <t>68</t>
  </si>
  <si>
    <t>4170</t>
  </si>
  <si>
    <t>4180</t>
  </si>
  <si>
    <t>4205</t>
  </si>
  <si>
    <t>4245</t>
  </si>
  <si>
    <t>4500</t>
  </si>
  <si>
    <t>53</t>
  </si>
  <si>
    <t>4515</t>
  </si>
  <si>
    <t>4525</t>
  </si>
  <si>
    <t>4540</t>
  </si>
  <si>
    <t>4630</t>
  </si>
  <si>
    <t>4640</t>
  </si>
  <si>
    <t>4650</t>
  </si>
  <si>
    <t>4710</t>
  </si>
  <si>
    <t>4715</t>
  </si>
  <si>
    <t>5000</t>
  </si>
  <si>
    <t>60</t>
  </si>
  <si>
    <t>61</t>
  </si>
  <si>
    <t>64</t>
  </si>
  <si>
    <t>74</t>
  </si>
  <si>
    <t>75</t>
  </si>
  <si>
    <t>76</t>
  </si>
  <si>
    <t>77</t>
  </si>
  <si>
    <t>79</t>
  </si>
  <si>
    <t>80</t>
  </si>
  <si>
    <t>81</t>
  </si>
  <si>
    <t>82</t>
  </si>
  <si>
    <t>83</t>
  </si>
  <si>
    <t>84</t>
  </si>
  <si>
    <t>85</t>
  </si>
  <si>
    <t>86</t>
  </si>
  <si>
    <t>87</t>
  </si>
  <si>
    <t>88</t>
  </si>
  <si>
    <t>89</t>
  </si>
  <si>
    <t>90</t>
  </si>
  <si>
    <t>91</t>
  </si>
  <si>
    <t>92</t>
  </si>
  <si>
    <t>93</t>
  </si>
  <si>
    <t>94</t>
  </si>
  <si>
    <t>95</t>
  </si>
  <si>
    <t>97</t>
  </si>
  <si>
    <t>5010</t>
  </si>
  <si>
    <t>40</t>
  </si>
  <si>
    <t>44</t>
  </si>
  <si>
    <t>5015</t>
  </si>
  <si>
    <t>5025</t>
  </si>
  <si>
    <t>5030</t>
  </si>
  <si>
    <t>59</t>
  </si>
  <si>
    <t>5035</t>
  </si>
  <si>
    <t>5040</t>
  </si>
  <si>
    <t>5045</t>
  </si>
  <si>
    <t>5100</t>
  </si>
  <si>
    <t>5101</t>
  </si>
  <si>
    <t>5105</t>
  </si>
  <si>
    <t>5111</t>
  </si>
  <si>
    <t>5120</t>
  </si>
  <si>
    <t>5122</t>
  </si>
  <si>
    <t>5129</t>
  </si>
  <si>
    <t>5132</t>
  </si>
  <si>
    <t>5134</t>
  </si>
  <si>
    <t>5145</t>
  </si>
  <si>
    <t>5154</t>
  </si>
  <si>
    <t>5158</t>
  </si>
  <si>
    <t>5160</t>
  </si>
  <si>
    <t>5200</t>
  </si>
  <si>
    <t>49</t>
  </si>
  <si>
    <t>5205</t>
  </si>
  <si>
    <t>5210</t>
  </si>
  <si>
    <t>5220</t>
  </si>
  <si>
    <t>5230</t>
  </si>
  <si>
    <t>5240</t>
  </si>
  <si>
    <t>5305</t>
  </si>
  <si>
    <t>5330</t>
  </si>
  <si>
    <t>5335</t>
  </si>
  <si>
    <t>5400</t>
  </si>
  <si>
    <t>5405</t>
  </si>
  <si>
    <t>5410</t>
  </si>
  <si>
    <t>5500</t>
  </si>
  <si>
    <t>5505</t>
  </si>
  <si>
    <t>5515</t>
  </si>
  <si>
    <t>5525</t>
  </si>
  <si>
    <t>5530</t>
  </si>
  <si>
    <t>5535</t>
  </si>
  <si>
    <t>5545</t>
  </si>
  <si>
    <t>6000</t>
  </si>
  <si>
    <t>6010</t>
  </si>
  <si>
    <t>6015</t>
  </si>
  <si>
    <t>6025</t>
  </si>
  <si>
    <t>6040</t>
  </si>
  <si>
    <t>6050</t>
  </si>
  <si>
    <t>6055</t>
  </si>
  <si>
    <t>6060</t>
  </si>
  <si>
    <t>6130</t>
  </si>
  <si>
    <t>6200</t>
  </si>
  <si>
    <t>6205</t>
  </si>
  <si>
    <t>6310</t>
  </si>
  <si>
    <t>6400</t>
  </si>
  <si>
    <t>6420</t>
  </si>
  <si>
    <t>6430</t>
  </si>
  <si>
    <t>6440</t>
  </si>
  <si>
    <t>6465</t>
  </si>
  <si>
    <t>6480</t>
  </si>
  <si>
    <t>6485</t>
  </si>
  <si>
    <t>6490</t>
  </si>
  <si>
    <t>6495</t>
  </si>
  <si>
    <t>7000</t>
  </si>
  <si>
    <t>7041</t>
  </si>
  <si>
    <t>7050</t>
  </si>
  <si>
    <t>7060</t>
  </si>
  <si>
    <t>7230</t>
  </si>
  <si>
    <t>7250</t>
  </si>
  <si>
    <t>7600</t>
  </si>
  <si>
    <t>7640</t>
  </si>
  <si>
    <t>7650</t>
  </si>
  <si>
    <t>7700</t>
  </si>
  <si>
    <t>7730</t>
  </si>
  <si>
    <t>7750</t>
  </si>
  <si>
    <t>7770</t>
  </si>
  <si>
    <t>8010</t>
  </si>
  <si>
    <t>8100</t>
  </si>
  <si>
    <t>8110</t>
  </si>
  <si>
    <t>8115</t>
  </si>
  <si>
    <t>8130</t>
  </si>
  <si>
    <t>8140</t>
  </si>
  <si>
    <t>8145</t>
  </si>
  <si>
    <t>8170</t>
  </si>
  <si>
    <t>8260</t>
  </si>
  <si>
    <t>8310</t>
  </si>
  <si>
    <t>8320</t>
  </si>
  <si>
    <t>8330</t>
  </si>
  <si>
    <t>8410</t>
  </si>
  <si>
    <t>8420</t>
  </si>
  <si>
    <t>8440</t>
  </si>
  <si>
    <t>8500</t>
  </si>
  <si>
    <t>8510</t>
  </si>
  <si>
    <t>8520</t>
  </si>
  <si>
    <t>8523</t>
  </si>
  <si>
    <t>8530</t>
  </si>
  <si>
    <t>8531</t>
  </si>
  <si>
    <t>8540</t>
  </si>
  <si>
    <t>8551</t>
  </si>
  <si>
    <t>8560</t>
  </si>
  <si>
    <t>8580</t>
  </si>
  <si>
    <t>8582</t>
  </si>
  <si>
    <t>8585</t>
  </si>
  <si>
    <t>8910</t>
  </si>
  <si>
    <t/>
  </si>
  <si>
    <t>31VOL1</t>
  </si>
  <si>
    <t>31VOL2</t>
  </si>
  <si>
    <t>31VOL3</t>
  </si>
  <si>
    <t>31VOL4</t>
  </si>
  <si>
    <t>31VOL5</t>
  </si>
  <si>
    <t>31VOL6</t>
  </si>
  <si>
    <t>19VOL1</t>
  </si>
  <si>
    <t>19VOL2</t>
  </si>
  <si>
    <t>19VOL3</t>
  </si>
  <si>
    <t>19VOL4</t>
  </si>
  <si>
    <t>CURRENT</t>
  </si>
  <si>
    <t>URL</t>
  </si>
  <si>
    <t>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</si>
</sst>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quotePrefix="1"/>
    <xf numFmtId="1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B0CF-A3A0-4A52-BC74-5EE24370B759}">
  <sheetPr codeName="Sheet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BB420-EB6A-420C-B208-6A5B31D21569}">
  <sheetPr codeName="Sheet1"/>
  <dimension ref="A1:I828"/>
  <sheetViews>
    <sheetView tabSelected="1" topLeftCell="F1" workbookViewId="0">
      <selection activeCell="I2" sqref="I2:I828"/>
    </sheetView>
  </sheetViews>
  <sheetFormatPr defaultRowHeight="15" x14ac:dyDescent="0.25"/>
  <cols>
    <col min="1" max="1" width="6.28515625" bestFit="1" customWidth="1"/>
    <col min="2" max="2" width="8.140625" bestFit="1" customWidth="1"/>
    <col min="3" max="3" width="17.28515625" bestFit="1" customWidth="1"/>
    <col min="4" max="4" width="16" bestFit="1" customWidth="1"/>
    <col min="5" max="6" width="23.28515625" customWidth="1"/>
    <col min="7" max="7" width="65.7109375" customWidth="1"/>
    <col min="8" max="8" width="15.140625" customWidth="1"/>
    <col min="9" max="9" width="13.7109375" customWidth="1"/>
  </cols>
  <sheetData>
    <row r="1" spans="1:9" x14ac:dyDescent="0.25">
      <c r="A1" t="s">
        <v>826</v>
      </c>
      <c r="B1" t="s">
        <v>827</v>
      </c>
      <c r="C1" t="s">
        <v>828</v>
      </c>
      <c r="D1" t="s">
        <v>829</v>
      </c>
      <c r="E1" t="s">
        <v>830</v>
      </c>
      <c r="F1" t="s">
        <v>831</v>
      </c>
      <c r="G1" t="s">
        <v>832</v>
      </c>
      <c r="H1" t="s">
        <v>1158</v>
      </c>
      <c r="I1" t="s">
        <v>1159</v>
      </c>
    </row>
    <row r="2" spans="1:9" x14ac:dyDescent="0.25">
      <c r="A2" t="s">
        <v>844</v>
      </c>
      <c r="B2" t="s">
        <v>845</v>
      </c>
      <c r="C2" t="str">
        <f>_xlfn.CONCAT(A2,".",B2)</f>
        <v>1000.01</v>
      </c>
      <c r="D2" t="s">
        <v>1157</v>
      </c>
      <c r="E2" s="2">
        <v>43255</v>
      </c>
      <c r="G2" t="s">
        <v>3</v>
      </c>
      <c r="H2" t="str">
        <f>IF(D2="CURRENT",_xlfn.CONCAT("https://federallibrary.us/DOD/DODI/",C2,"/CURRENT/TITLE.html"),"")</f>
        <v>https://federallibrary.us/DOD/DODI/1000.01/CURRENT/TITLE.html</v>
      </c>
      <c r="I2" t="str">
        <f>IF(D2="CURRENT",_xlfn.CONCAT("&lt;tr&gt; &lt;td&gt; &lt;a href=",H2,"&gt; DODI ",C2, "&lt;/a&gt; &lt;/td&gt; &lt;td&gt; ", G2, " &lt;/td&gt; &lt;/tr&gt;"),"")</f>
        <v>&lt;tr&gt; &lt;td&gt; &lt;a href=https://federallibrary.us/DOD/DODI/1000.01/CURRENT/TITLE.html&gt; DODI 1000.01&lt;/a&gt; &lt;/td&gt; &lt;td&gt; Identification (ID) Cards Required by the Geneva Conventions &lt;/td&gt; &lt;/tr&gt;</v>
      </c>
    </row>
    <row r="3" spans="1:9" x14ac:dyDescent="0.25">
      <c r="A3" t="s">
        <v>844</v>
      </c>
      <c r="B3" t="s">
        <v>846</v>
      </c>
      <c r="C3" t="str">
        <f t="shared" ref="C3:C66" si="0">_xlfn.CONCAT(A3,".",B3)</f>
        <v>1000.04</v>
      </c>
      <c r="D3" t="s">
        <v>1157</v>
      </c>
      <c r="E3" s="2">
        <v>43781</v>
      </c>
      <c r="G3" t="s">
        <v>4</v>
      </c>
      <c r="H3" t="str">
        <f t="shared" ref="H3:H66" si="1">IF(D3="CURRENT",_xlfn.CONCAT("https://federallibrary.us/DOD/DODI/",C3,"/CURRENT/TITLE.html"),"")</f>
        <v>https://federallibrary.us/DOD/DODI/1000.04/CURRENT/TITLE.html</v>
      </c>
      <c r="I3" t="str">
        <f t="shared" ref="I3:I66" si="2">IF(D3="CURRENT",_xlfn.CONCAT("&lt;tr&gt; &lt;td&gt; &lt;a href=",H3,"&gt; DODI ",C3, "&lt;/a&gt; &lt;/td&gt; &lt;td&gt; ", G3, " &lt;/td&gt; &lt;/tr&gt;"),"")</f>
        <v>&lt;tr&gt; &lt;td&gt; &lt;a href=https://federallibrary.us/DOD/DODI/1000.04/CURRENT/TITLE.html&gt; DODI 1000.04&lt;/a&gt; &lt;/td&gt; &lt;td&gt; Federal Voting Assistance Program (FVAP) &lt;/td&gt; &lt;/tr&gt;</v>
      </c>
    </row>
    <row r="4" spans="1:9" x14ac:dyDescent="0.25">
      <c r="A4" t="s">
        <v>844</v>
      </c>
      <c r="B4" t="s">
        <v>847</v>
      </c>
      <c r="C4" t="str">
        <f t="shared" si="0"/>
        <v>1000.11</v>
      </c>
      <c r="D4" t="s">
        <v>1157</v>
      </c>
      <c r="E4" s="2">
        <v>43237</v>
      </c>
      <c r="G4" t="s">
        <v>5</v>
      </c>
      <c r="H4" t="str">
        <f t="shared" si="1"/>
        <v>https://federallibrary.us/DOD/DODI/1000.11/CURRENT/TITLE.html</v>
      </c>
      <c r="I4" t="str">
        <f t="shared" si="2"/>
        <v>&lt;tr&gt; &lt;td&gt; &lt;a href=https://federallibrary.us/DOD/DODI/1000.11/CURRENT/TITLE.html&gt; DODI 1000.11&lt;/a&gt; &lt;/td&gt; &lt;td&gt; Financial Institutions on DoD Installations &lt;/td&gt; &lt;/tr&gt;</v>
      </c>
    </row>
    <row r="5" spans="1:9" x14ac:dyDescent="0.25">
      <c r="A5" t="s">
        <v>844</v>
      </c>
      <c r="B5" t="s">
        <v>848</v>
      </c>
      <c r="C5" t="str">
        <f t="shared" si="0"/>
        <v>1000.13</v>
      </c>
      <c r="D5" t="s">
        <v>1157</v>
      </c>
      <c r="E5" s="2">
        <v>43083</v>
      </c>
      <c r="G5" t="s">
        <v>6</v>
      </c>
      <c r="H5" t="str">
        <f t="shared" si="1"/>
        <v>https://federallibrary.us/DOD/DODI/1000.13/CURRENT/TITLE.html</v>
      </c>
      <c r="I5" t="str">
        <f t="shared" si="2"/>
        <v>&lt;tr&gt; &lt;td&gt; &lt;a href=https://federallibrary.us/DOD/DODI/1000.13/CURRENT/TITLE.html&gt; DODI 1000.13&lt;/a&gt; &lt;/td&gt; &lt;td&gt; Identification (ID) Cards for Members of the Uniformed Services, Their Dependents, and Other Eligible Individuals &lt;/td&gt; &lt;/tr&gt;</v>
      </c>
    </row>
    <row r="6" spans="1:9" x14ac:dyDescent="0.25">
      <c r="A6" t="s">
        <v>844</v>
      </c>
      <c r="B6" t="s">
        <v>849</v>
      </c>
      <c r="C6" t="str">
        <f t="shared" si="0"/>
        <v>1000.15</v>
      </c>
      <c r="D6" t="s">
        <v>1157</v>
      </c>
      <c r="E6" s="2">
        <v>39745</v>
      </c>
      <c r="G6" t="s">
        <v>7</v>
      </c>
      <c r="H6" t="str">
        <f t="shared" si="1"/>
        <v>https://federallibrary.us/DOD/DODI/1000.15/CURRENT/TITLE.html</v>
      </c>
      <c r="I6" t="str">
        <f t="shared" si="2"/>
        <v>&lt;tr&gt; &lt;td&gt; &lt;a href=https://federallibrary.us/DOD/DODI/1000.15/CURRENT/TITLE.html&gt; DODI 1000.15&lt;/a&gt; &lt;/td&gt; &lt;td&gt; Procedures and Support for Non-Federal Entities Authorized to Operate on DoD Installations &lt;/td&gt; &lt;/tr&gt;</v>
      </c>
    </row>
    <row r="7" spans="1:9" x14ac:dyDescent="0.25">
      <c r="A7" t="s">
        <v>844</v>
      </c>
      <c r="B7" t="s">
        <v>850</v>
      </c>
      <c r="C7" t="str">
        <f t="shared" si="0"/>
        <v>1000.17</v>
      </c>
      <c r="D7" t="s">
        <v>1157</v>
      </c>
      <c r="E7" s="2">
        <v>44677</v>
      </c>
      <c r="G7" t="s">
        <v>8</v>
      </c>
      <c r="H7" t="str">
        <f t="shared" si="1"/>
        <v>https://federallibrary.us/DOD/DODI/1000.17/CURRENT/TITLE.html</v>
      </c>
      <c r="I7" t="str">
        <f t="shared" si="2"/>
        <v>&lt;tr&gt; &lt;td&gt; &lt;a href=https://federallibrary.us/DOD/DODI/1000.17/CURRENT/TITLE.html&gt; DODI 1000.17&lt;/a&gt; &lt;/td&gt; &lt;td&gt; Detail of DoD Personnel to Duty Outside the Department of Defense &lt;/td&gt; &lt;/tr&gt;</v>
      </c>
    </row>
    <row r="8" spans="1:9" x14ac:dyDescent="0.25">
      <c r="A8" t="s">
        <v>844</v>
      </c>
      <c r="B8" t="s">
        <v>851</v>
      </c>
      <c r="C8" t="str">
        <f t="shared" si="0"/>
        <v>1000.25</v>
      </c>
      <c r="D8" t="s">
        <v>1157</v>
      </c>
      <c r="E8" s="2">
        <v>42431</v>
      </c>
      <c r="G8" t="s">
        <v>9</v>
      </c>
      <c r="H8" t="str">
        <f t="shared" si="1"/>
        <v>https://federallibrary.us/DOD/DODI/1000.25/CURRENT/TITLE.html</v>
      </c>
      <c r="I8" t="str">
        <f t="shared" si="2"/>
        <v>&lt;tr&gt; &lt;td&gt; &lt;a href=https://federallibrary.us/DOD/DODI/1000.25/CURRENT/TITLE.html&gt; DODI 1000.25&lt;/a&gt; &lt;/td&gt; &lt;td&gt; DoD Personnel Identity Protection (PIP) Program &lt;/td&gt; &lt;/tr&gt;</v>
      </c>
    </row>
    <row r="9" spans="1:9" x14ac:dyDescent="0.25">
      <c r="A9" t="s">
        <v>844</v>
      </c>
      <c r="B9" t="s">
        <v>852</v>
      </c>
      <c r="C9" t="str">
        <f t="shared" si="0"/>
        <v>1000.27</v>
      </c>
      <c r="D9" t="s">
        <v>1157</v>
      </c>
      <c r="E9" s="2">
        <v>39749</v>
      </c>
      <c r="G9" t="s">
        <v>10</v>
      </c>
      <c r="H9" t="str">
        <f t="shared" si="1"/>
        <v>https://federallibrary.us/DOD/DODI/1000.27/CURRENT/TITLE.html</v>
      </c>
      <c r="I9" t="str">
        <f t="shared" si="2"/>
        <v>&lt;tr&gt; &lt;td&gt; &lt;a href=https://federallibrary.us/DOD/DODI/1000.27/CURRENT/TITLE.html&gt; DODI 1000.27&lt;/a&gt; &lt;/td&gt; &lt;td&gt; Mass Transportation Benefit Program (MTBP) &lt;/td&gt; &lt;/tr&gt;</v>
      </c>
    </row>
    <row r="10" spans="1:9" x14ac:dyDescent="0.25">
      <c r="A10" t="s">
        <v>844</v>
      </c>
      <c r="B10" t="s">
        <v>853</v>
      </c>
      <c r="C10" t="str">
        <f t="shared" si="0"/>
        <v>1000.28</v>
      </c>
      <c r="D10" t="s">
        <v>1157</v>
      </c>
      <c r="E10" s="2">
        <v>43378</v>
      </c>
      <c r="G10" t="s">
        <v>11</v>
      </c>
      <c r="H10" t="str">
        <f t="shared" si="1"/>
        <v>https://federallibrary.us/DOD/DODI/1000.28/CURRENT/TITLE.html</v>
      </c>
      <c r="I10" t="str">
        <f t="shared" si="2"/>
        <v>&lt;tr&gt; &lt;td&gt; &lt;a href=https://federallibrary.us/DOD/DODI/1000.28/CURRENT/TITLE.html&gt; DODI 1000.28&lt;/a&gt; &lt;/td&gt; &lt;td&gt; Armed Forces Retirement Home (AFRH) &lt;/td&gt; &lt;/tr&gt;</v>
      </c>
    </row>
    <row r="11" spans="1:9" x14ac:dyDescent="0.25">
      <c r="A11" t="s">
        <v>844</v>
      </c>
      <c r="B11" t="s">
        <v>854</v>
      </c>
      <c r="C11" t="str">
        <f t="shared" si="0"/>
        <v>1000.30</v>
      </c>
      <c r="D11" t="s">
        <v>1157</v>
      </c>
      <c r="E11" s="2">
        <v>44895</v>
      </c>
      <c r="G11" t="s">
        <v>12</v>
      </c>
      <c r="H11" t="str">
        <f t="shared" si="1"/>
        <v>https://federallibrary.us/DOD/DODI/1000.30/CURRENT/TITLE.html</v>
      </c>
      <c r="I11" t="str">
        <f t="shared" si="2"/>
        <v>&lt;tr&gt; &lt;td&gt; &lt;a href=https://federallibrary.us/DOD/DODI/1000.30/CURRENT/TITLE.html&gt; DODI 1000.30&lt;/a&gt; &lt;/td&gt; &lt;td&gt; Reduction of Social Security Number (SSN) Use Within DoD &lt;/td&gt; &lt;/tr&gt;</v>
      </c>
    </row>
    <row r="12" spans="1:9" x14ac:dyDescent="0.25">
      <c r="A12" t="s">
        <v>844</v>
      </c>
      <c r="B12" t="s">
        <v>855</v>
      </c>
      <c r="C12" t="str">
        <f t="shared" si="0"/>
        <v>1000.31</v>
      </c>
      <c r="D12" t="s">
        <v>1157</v>
      </c>
      <c r="E12" s="2">
        <v>43399</v>
      </c>
      <c r="G12" t="s">
        <v>13</v>
      </c>
      <c r="H12" t="str">
        <f t="shared" si="1"/>
        <v>https://federallibrary.us/DOD/DODI/1000.31/CURRENT/TITLE.html</v>
      </c>
      <c r="I12" t="str">
        <f t="shared" si="2"/>
        <v>&lt;tr&gt; &lt;td&gt; &lt;a href=https://federallibrary.us/DOD/DODI/1000.31/CURRENT/TITLE.html&gt; DODI 1000.31&lt;/a&gt; &lt;/td&gt; &lt;td&gt; Computer / Electronics Accommodations Program (CAP) &lt;/td&gt; &lt;/tr&gt;</v>
      </c>
    </row>
    <row r="13" spans="1:9" x14ac:dyDescent="0.25">
      <c r="A13" t="s">
        <v>844</v>
      </c>
      <c r="B13" t="s">
        <v>856</v>
      </c>
      <c r="C13" t="str">
        <f t="shared" si="0"/>
        <v>1000.32</v>
      </c>
      <c r="D13" t="s">
        <v>1157</v>
      </c>
      <c r="E13" s="2">
        <v>43916</v>
      </c>
      <c r="G13" t="s">
        <v>14</v>
      </c>
      <c r="H13" t="str">
        <f t="shared" si="1"/>
        <v>https://federallibrary.us/DOD/DODI/1000.32/CURRENT/TITLE.html</v>
      </c>
      <c r="I13" t="str">
        <f t="shared" si="2"/>
        <v>&lt;tr&gt; &lt;td&gt; &lt;a href=https://federallibrary.us/DOD/DODI/1000.32/CURRENT/TITLE.html&gt; DODI 1000.32&lt;/a&gt; &lt;/td&gt; &lt;td&gt; Prohibition of Lobbying Activity by Former DoD Senior Officials &lt;/td&gt; &lt;/tr&gt;</v>
      </c>
    </row>
    <row r="14" spans="1:9" x14ac:dyDescent="0.25">
      <c r="A14" t="s">
        <v>857</v>
      </c>
      <c r="B14" t="s">
        <v>858</v>
      </c>
      <c r="C14" t="str">
        <f t="shared" si="0"/>
        <v>1005.06</v>
      </c>
      <c r="D14" t="s">
        <v>1157</v>
      </c>
      <c r="E14" s="2">
        <v>42202</v>
      </c>
      <c r="G14" t="s">
        <v>15</v>
      </c>
      <c r="H14" t="str">
        <f t="shared" si="1"/>
        <v>https://federallibrary.us/DOD/DODI/1005.06/CURRENT/TITLE.html</v>
      </c>
      <c r="I14" t="str">
        <f t="shared" si="2"/>
        <v>&lt;tr&gt; &lt;td&gt; &lt;a href=https://federallibrary.us/DOD/DODI/1005.06/CURRENT/TITLE.html&gt; DODI 1005.06&lt;/a&gt; &lt;/td&gt; &lt;td&gt; Display of the National Flag At Half-staff &lt;/td&gt; &lt;/tr&gt;</v>
      </c>
    </row>
    <row r="15" spans="1:9" x14ac:dyDescent="0.25">
      <c r="A15" t="s">
        <v>857</v>
      </c>
      <c r="B15" t="s">
        <v>859</v>
      </c>
      <c r="C15" t="str">
        <f t="shared" si="0"/>
        <v>1005.14</v>
      </c>
      <c r="D15" t="s">
        <v>1157</v>
      </c>
      <c r="E15" s="2">
        <v>44679</v>
      </c>
      <c r="G15" t="s">
        <v>16</v>
      </c>
      <c r="H15" t="str">
        <f t="shared" si="1"/>
        <v>https://federallibrary.us/DOD/DODI/1005.14/CURRENT/TITLE.html</v>
      </c>
      <c r="I15" t="str">
        <f t="shared" si="2"/>
        <v>&lt;tr&gt; &lt;td&gt; &lt;a href=https://federallibrary.us/DOD/DODI/1005.14/CURRENT/TITLE.html&gt; DODI 1005.14&lt;/a&gt; &lt;/td&gt; &lt;td&gt; Department of Defense Spirit of Hope (SOH) Award &lt;/td&gt; &lt;/tr&gt;</v>
      </c>
    </row>
    <row r="16" spans="1:9" x14ac:dyDescent="0.25">
      <c r="A16" t="s">
        <v>857</v>
      </c>
      <c r="B16" t="s">
        <v>849</v>
      </c>
      <c r="C16" t="str">
        <f t="shared" si="0"/>
        <v>1005.15</v>
      </c>
      <c r="D16" t="s">
        <v>1157</v>
      </c>
      <c r="E16" s="2">
        <v>44764</v>
      </c>
      <c r="G16" t="s">
        <v>17</v>
      </c>
      <c r="H16" t="str">
        <f t="shared" si="1"/>
        <v>https://federallibrary.us/DOD/DODI/1005.15/CURRENT/TITLE.html</v>
      </c>
      <c r="I16" t="str">
        <f t="shared" si="2"/>
        <v>&lt;tr&gt; &lt;td&gt; &lt;a href=https://federallibrary.us/DOD/DODI/1005.15/CURRENT/TITLE.html&gt; DODI 1005.15&lt;/a&gt; &lt;/td&gt; &lt;td&gt; DoD Civilian Flags &lt;/td&gt; &lt;/tr&gt;</v>
      </c>
    </row>
    <row r="17" spans="1:9" x14ac:dyDescent="0.25">
      <c r="A17" t="s">
        <v>857</v>
      </c>
      <c r="B17" t="s">
        <v>860</v>
      </c>
      <c r="C17" t="str">
        <f t="shared" si="0"/>
        <v>1005.16</v>
      </c>
      <c r="D17" t="s">
        <v>1157</v>
      </c>
      <c r="E17" s="2">
        <v>45229</v>
      </c>
      <c r="G17" t="s">
        <v>18</v>
      </c>
      <c r="H17" t="str">
        <f t="shared" si="1"/>
        <v>https://federallibrary.us/DOD/DODI/1005.16/CURRENT/TITLE.html</v>
      </c>
      <c r="I17" t="str">
        <f t="shared" si="2"/>
        <v>&lt;tr&gt; &lt;td&gt; &lt;a href=https://federallibrary.us/DOD/DODI/1005.16/CURRENT/TITLE.html&gt; DODI 1005.16&lt;/a&gt; &lt;/td&gt; &lt;td&gt; Commander in Chief's Annual Award for Installation Excellence &lt;/td&gt; &lt;/tr&gt;</v>
      </c>
    </row>
    <row r="18" spans="1:9" x14ac:dyDescent="0.25">
      <c r="A18" t="s">
        <v>861</v>
      </c>
      <c r="B18" t="s">
        <v>845</v>
      </c>
      <c r="C18" t="str">
        <f t="shared" si="0"/>
        <v>1010.01</v>
      </c>
      <c r="D18" t="s">
        <v>1157</v>
      </c>
      <c r="E18" s="2">
        <v>43145</v>
      </c>
      <c r="G18" t="s">
        <v>19</v>
      </c>
      <c r="H18" t="str">
        <f t="shared" si="1"/>
        <v>https://federallibrary.us/DOD/DODI/1010.01/CURRENT/TITLE.html</v>
      </c>
      <c r="I18" t="str">
        <f t="shared" si="2"/>
        <v>&lt;tr&gt; &lt;td&gt; &lt;a href=https://federallibrary.us/DOD/DODI/1010.01/CURRENT/TITLE.html&gt; DODI 1010.01&lt;/a&gt; &lt;/td&gt; &lt;td&gt; Military Personnel Drug Abuse Testing Program (MPDATP) &lt;/td&gt; &lt;/tr&gt;</v>
      </c>
    </row>
    <row r="19" spans="1:9" x14ac:dyDescent="0.25">
      <c r="A19" t="s">
        <v>861</v>
      </c>
      <c r="B19" t="s">
        <v>846</v>
      </c>
      <c r="C19" t="str">
        <f t="shared" si="0"/>
        <v>1010.04</v>
      </c>
      <c r="D19" t="s">
        <v>1157</v>
      </c>
      <c r="E19" s="2">
        <v>43957</v>
      </c>
      <c r="G19" t="s">
        <v>20</v>
      </c>
      <c r="H19" t="str">
        <f t="shared" si="1"/>
        <v>https://federallibrary.us/DOD/DODI/1010.04/CURRENT/TITLE.html</v>
      </c>
      <c r="I19" t="str">
        <f t="shared" si="2"/>
        <v>&lt;tr&gt; &lt;td&gt; &lt;a href=https://federallibrary.us/DOD/DODI/1010.04/CURRENT/TITLE.html&gt; DODI 1010.04&lt;/a&gt; &lt;/td&gt; &lt;td&gt; Problematic Substance Use by DoD Personnel &lt;/td&gt; &lt;/tr&gt;</v>
      </c>
    </row>
    <row r="20" spans="1:9" x14ac:dyDescent="0.25">
      <c r="A20" t="s">
        <v>861</v>
      </c>
      <c r="B20" t="s">
        <v>862</v>
      </c>
      <c r="C20" t="str">
        <f t="shared" si="0"/>
        <v>1010.09</v>
      </c>
      <c r="D20" t="s">
        <v>1157</v>
      </c>
      <c r="E20" s="2">
        <v>43279</v>
      </c>
      <c r="G20" t="s">
        <v>21</v>
      </c>
      <c r="H20" t="str">
        <f t="shared" si="1"/>
        <v>https://federallibrary.us/DOD/DODI/1010.09/CURRENT/TITLE.html</v>
      </c>
      <c r="I20" t="str">
        <f t="shared" si="2"/>
        <v>&lt;tr&gt; &lt;td&gt; &lt;a href=https://federallibrary.us/DOD/DODI/1010.09/CURRENT/TITLE.html&gt; DODI 1010.09&lt;/a&gt; &lt;/td&gt; &lt;td&gt; DoD Civilian Employee Drug-Free Workplace Program &lt;/td&gt; &lt;/tr&gt;</v>
      </c>
    </row>
    <row r="21" spans="1:9" x14ac:dyDescent="0.25">
      <c r="A21" t="s">
        <v>861</v>
      </c>
      <c r="B21" t="s">
        <v>863</v>
      </c>
      <c r="C21" t="str">
        <f t="shared" si="0"/>
        <v>1010.10</v>
      </c>
      <c r="D21" t="s">
        <v>1157</v>
      </c>
      <c r="E21" s="2">
        <v>44697</v>
      </c>
      <c r="G21" t="s">
        <v>22</v>
      </c>
      <c r="H21" t="str">
        <f t="shared" si="1"/>
        <v>https://federallibrary.us/DOD/DODI/1010.10/CURRENT/TITLE.html</v>
      </c>
      <c r="I21" t="str">
        <f t="shared" si="2"/>
        <v>&lt;tr&gt; &lt;td&gt; &lt;a href=https://federallibrary.us/DOD/DODI/1010.10/CURRENT/TITLE.html&gt; DODI 1010.10&lt;/a&gt; &lt;/td&gt; &lt;td&gt; Health Promotion and Disease Prevention &lt;/td&gt; &lt;/tr&gt;</v>
      </c>
    </row>
    <row r="22" spans="1:9" x14ac:dyDescent="0.25">
      <c r="A22" t="s">
        <v>861</v>
      </c>
      <c r="B22" t="s">
        <v>860</v>
      </c>
      <c r="C22" t="str">
        <f t="shared" si="0"/>
        <v>1010.16</v>
      </c>
      <c r="D22" t="s">
        <v>1157</v>
      </c>
      <c r="E22" s="2">
        <v>43997</v>
      </c>
      <c r="G22" t="s">
        <v>23</v>
      </c>
      <c r="H22" t="str">
        <f t="shared" si="1"/>
        <v>https://federallibrary.us/DOD/DODI/1010.16/CURRENT/TITLE.html</v>
      </c>
      <c r="I22" t="str">
        <f t="shared" si="2"/>
        <v>&lt;tr&gt; &lt;td&gt; &lt;a href=https://federallibrary.us/DOD/DODI/1010.16/CURRENT/TITLE.html&gt; DODI 1010.16&lt;/a&gt; &lt;/td&gt; &lt;td&gt; Technical Procedures for the Military Personnel Drug Abuse Testing Program &lt;/td&gt; &lt;/tr&gt;</v>
      </c>
    </row>
    <row r="23" spans="1:9" x14ac:dyDescent="0.25">
      <c r="A23" t="s">
        <v>864</v>
      </c>
      <c r="B23" t="s">
        <v>865</v>
      </c>
      <c r="C23" t="str">
        <f t="shared" si="0"/>
        <v>1015.08</v>
      </c>
      <c r="D23" t="s">
        <v>1157</v>
      </c>
      <c r="E23" s="2">
        <v>38709</v>
      </c>
      <c r="G23" t="s">
        <v>24</v>
      </c>
      <c r="H23" t="str">
        <f t="shared" si="1"/>
        <v>https://federallibrary.us/DOD/DODI/1015.08/CURRENT/TITLE.html</v>
      </c>
      <c r="I23" t="str">
        <f t="shared" si="2"/>
        <v>&lt;tr&gt; &lt;td&gt; &lt;a href=https://federallibrary.us/DOD/DODI/1015.08/CURRENT/TITLE.html&gt; DODI 1015.08&lt;/a&gt; &lt;/td&gt; &lt;td&gt; DoD Civilian Employee Morale, Welfare, and Recreation (MWR) Activities and Supporting Nonappropriated Fund Instrumentalities (NAFI) &lt;/td&gt; &lt;/tr&gt;</v>
      </c>
    </row>
    <row r="24" spans="1:9" x14ac:dyDescent="0.25">
      <c r="A24" t="s">
        <v>864</v>
      </c>
      <c r="B24" t="s">
        <v>862</v>
      </c>
      <c r="C24" t="str">
        <f t="shared" si="0"/>
        <v>1015.09</v>
      </c>
      <c r="D24" t="s">
        <v>1157</v>
      </c>
      <c r="E24" s="2">
        <v>42620</v>
      </c>
      <c r="G24" t="s">
        <v>25</v>
      </c>
      <c r="H24" t="str">
        <f t="shared" si="1"/>
        <v>https://federallibrary.us/DOD/DODI/1015.09/CURRENT/TITLE.html</v>
      </c>
      <c r="I24" t="str">
        <f t="shared" si="2"/>
        <v>&lt;tr&gt; &lt;td&gt; &lt;a href=https://federallibrary.us/DOD/DODI/1015.09/CURRENT/TITLE.html&gt; DODI 1015.09&lt;/a&gt; &lt;/td&gt; &lt;td&gt; Professional U.S. Scouting Organization Operations At U.S. Military Installations Overseas &lt;/td&gt; &lt;/tr&gt;</v>
      </c>
    </row>
    <row r="25" spans="1:9" x14ac:dyDescent="0.25">
      <c r="A25" t="s">
        <v>864</v>
      </c>
      <c r="B25" t="s">
        <v>863</v>
      </c>
      <c r="C25" t="str">
        <f t="shared" si="0"/>
        <v>1015.10</v>
      </c>
      <c r="D25" t="s">
        <v>1157</v>
      </c>
      <c r="E25" s="2">
        <v>40669</v>
      </c>
      <c r="G25" t="s">
        <v>26</v>
      </c>
      <c r="H25" t="str">
        <f t="shared" si="1"/>
        <v>https://federallibrary.us/DOD/DODI/1015.10/CURRENT/TITLE.html</v>
      </c>
      <c r="I25" t="str">
        <f t="shared" si="2"/>
        <v>&lt;tr&gt; &lt;td&gt; &lt;a href=https://federallibrary.us/DOD/DODI/1015.10/CURRENT/TITLE.html&gt; DODI 1015.10&lt;/a&gt; &lt;/td&gt; &lt;td&gt; Military Morale, Welfare, and Recreation (MWR) Programs &lt;/td&gt; &lt;/tr&gt;</v>
      </c>
    </row>
    <row r="26" spans="1:9" x14ac:dyDescent="0.25">
      <c r="A26" t="s">
        <v>864</v>
      </c>
      <c r="B26" t="s">
        <v>847</v>
      </c>
      <c r="C26" t="str">
        <f t="shared" si="0"/>
        <v>1015.11</v>
      </c>
      <c r="D26" t="s">
        <v>1157</v>
      </c>
      <c r="E26" s="2">
        <v>44949</v>
      </c>
      <c r="G26" t="s">
        <v>27</v>
      </c>
      <c r="H26" t="str">
        <f t="shared" si="1"/>
        <v>https://federallibrary.us/DOD/DODI/1015.11/CURRENT/TITLE.html</v>
      </c>
      <c r="I26" t="str">
        <f t="shared" si="2"/>
        <v>&lt;tr&gt; &lt;td&gt; &lt;a href=https://federallibrary.us/DOD/DODI/1015.11/CURRENT/TITLE.html&gt; DODI 1015.11&lt;/a&gt; &lt;/td&gt; &lt;td&gt; DoD Lodging Policy &lt;/td&gt; &lt;/tr&gt;</v>
      </c>
    </row>
    <row r="27" spans="1:9" x14ac:dyDescent="0.25">
      <c r="A27" t="s">
        <v>864</v>
      </c>
      <c r="B27" t="s">
        <v>848</v>
      </c>
      <c r="C27" t="str">
        <f t="shared" si="0"/>
        <v>1015.13</v>
      </c>
      <c r="D27" t="s">
        <v>1157</v>
      </c>
      <c r="E27" s="2">
        <v>38057</v>
      </c>
      <c r="G27" t="s">
        <v>28</v>
      </c>
      <c r="H27" t="str">
        <f t="shared" si="1"/>
        <v>https://federallibrary.us/DOD/DODI/1015.13/CURRENT/TITLE.html</v>
      </c>
      <c r="I27" t="str">
        <f t="shared" si="2"/>
        <v>&lt;tr&gt; &lt;td&gt; &lt;a href=https://federallibrary.us/DOD/DODI/1015.13/CURRENT/TITLE.html&gt; DODI 1015.13&lt;/a&gt; &lt;/td&gt; &lt;td&gt; DoD Procedures for Implementing Public-Private Ventures (PPVS) for Morale, Welfare and Recreation (MWR), and Armed Services Exchange Category C Revenue-Generating Activities &lt;/td&gt; &lt;/tr&gt;</v>
      </c>
    </row>
    <row r="28" spans="1:9" x14ac:dyDescent="0.25">
      <c r="A28" t="s">
        <v>864</v>
      </c>
      <c r="B28" t="s">
        <v>849</v>
      </c>
      <c r="C28" t="str">
        <f t="shared" si="0"/>
        <v>1015.15</v>
      </c>
      <c r="D28" t="s">
        <v>1157</v>
      </c>
      <c r="E28" s="2">
        <v>39527</v>
      </c>
      <c r="G28" t="s">
        <v>29</v>
      </c>
      <c r="H28" t="str">
        <f t="shared" si="1"/>
        <v>https://federallibrary.us/DOD/DODI/1015.15/CURRENT/TITLE.html</v>
      </c>
      <c r="I28" t="str">
        <f t="shared" si="2"/>
        <v>&lt;tr&gt; &lt;td&gt; &lt;a href=https://federallibrary.us/DOD/DODI/1015.15/CURRENT/TITLE.html&gt; DODI 1015.15&lt;/a&gt; &lt;/td&gt; &lt;td&gt; Establishment, Management, and Control of Nonappropriated Fund Instrumentalities and Financial Management of Supporting Resources &lt;/td&gt; &lt;/tr&gt;</v>
      </c>
    </row>
    <row r="29" spans="1:9" x14ac:dyDescent="0.25">
      <c r="A29" t="s">
        <v>864</v>
      </c>
      <c r="B29" t="s">
        <v>860</v>
      </c>
      <c r="C29" t="str">
        <f t="shared" si="0"/>
        <v>1015.16</v>
      </c>
      <c r="D29" t="s">
        <v>1157</v>
      </c>
      <c r="E29" s="2">
        <v>44638</v>
      </c>
      <c r="G29" t="s">
        <v>30</v>
      </c>
      <c r="H29" t="str">
        <f t="shared" si="1"/>
        <v>https://federallibrary.us/DOD/DODI/1015.16/CURRENT/TITLE.html</v>
      </c>
      <c r="I29" t="str">
        <f t="shared" si="2"/>
        <v>&lt;tr&gt; &lt;td&gt; &lt;a href=https://federallibrary.us/DOD/DODI/1015.16/CURRENT/TITLE.html&gt; DODI 1015.16&lt;/a&gt; &lt;/td&gt; &lt;td&gt; Nonappropriated Fund Instrumentalities Information Technology Policies and Procedures &lt;/td&gt; &lt;/tr&gt;</v>
      </c>
    </row>
    <row r="30" spans="1:9" x14ac:dyDescent="0.25">
      <c r="A30" t="s">
        <v>866</v>
      </c>
      <c r="B30" t="s">
        <v>867</v>
      </c>
      <c r="C30" t="str">
        <f t="shared" si="0"/>
        <v>1020.03</v>
      </c>
      <c r="D30" t="s">
        <v>1157</v>
      </c>
      <c r="E30" s="2">
        <v>44915</v>
      </c>
      <c r="G30" t="s">
        <v>31</v>
      </c>
      <c r="H30" t="str">
        <f t="shared" si="1"/>
        <v>https://federallibrary.us/DOD/DODI/1020.03/CURRENT/TITLE.html</v>
      </c>
      <c r="I30" t="str">
        <f t="shared" si="2"/>
        <v>&lt;tr&gt; &lt;td&gt; &lt;a href=https://federallibrary.us/DOD/DODI/1020.03/CURRENT/TITLE.html&gt; DODI 1020.03&lt;/a&gt; &lt;/td&gt; &lt;td&gt; Harassment Prevention and Response in the Armed Forces &lt;/td&gt; &lt;/tr&gt;</v>
      </c>
    </row>
    <row r="31" spans="1:9" x14ac:dyDescent="0.25">
      <c r="A31" t="s">
        <v>866</v>
      </c>
      <c r="B31" t="s">
        <v>846</v>
      </c>
      <c r="C31" t="str">
        <f t="shared" si="0"/>
        <v>1020.04</v>
      </c>
      <c r="D31" t="s">
        <v>1157</v>
      </c>
      <c r="E31" s="2">
        <v>44012</v>
      </c>
      <c r="G31" t="s">
        <v>32</v>
      </c>
      <c r="H31" t="str">
        <f t="shared" si="1"/>
        <v>https://federallibrary.us/DOD/DODI/1020.04/CURRENT/TITLE.html</v>
      </c>
      <c r="I31" t="str">
        <f t="shared" si="2"/>
        <v>&lt;tr&gt; &lt;td&gt; &lt;a href=https://federallibrary.us/DOD/DODI/1020.04/CURRENT/TITLE.html&gt; DODI 1020.04&lt;/a&gt; &lt;/td&gt; &lt;td&gt; Harassment Prevention and Responses for DoD Civilian Employees &lt;/td&gt; &lt;/tr&gt;</v>
      </c>
    </row>
    <row r="32" spans="1:9" x14ac:dyDescent="0.25">
      <c r="A32" t="s">
        <v>866</v>
      </c>
      <c r="B32" t="s">
        <v>868</v>
      </c>
      <c r="C32" t="str">
        <f t="shared" si="0"/>
        <v>1020.05</v>
      </c>
      <c r="D32" t="s">
        <v>1157</v>
      </c>
      <c r="E32" s="2">
        <v>44083</v>
      </c>
      <c r="G32" t="s">
        <v>33</v>
      </c>
      <c r="H32" t="str">
        <f t="shared" si="1"/>
        <v>https://federallibrary.us/DOD/DODI/1020.05/CURRENT/TITLE.html</v>
      </c>
      <c r="I32" t="str">
        <f t="shared" si="2"/>
        <v>&lt;tr&gt; &lt;td&gt; &lt;a href=https://federallibrary.us/DOD/DODI/1020.05/CURRENT/TITLE.html&gt; DODI 1020.05&lt;/a&gt; &lt;/td&gt; &lt;td&gt; DoD Diversity and Inclusion Management Program &lt;/td&gt; &lt;/tr&gt;</v>
      </c>
    </row>
    <row r="33" spans="1:9" x14ac:dyDescent="0.25">
      <c r="A33" t="s">
        <v>869</v>
      </c>
      <c r="B33" t="s">
        <v>870</v>
      </c>
      <c r="C33" t="str">
        <f t="shared" si="0"/>
        <v>1025.02</v>
      </c>
      <c r="D33" t="s">
        <v>1157</v>
      </c>
      <c r="E33" s="2">
        <v>44888</v>
      </c>
      <c r="G33" t="s">
        <v>34</v>
      </c>
      <c r="H33" t="str">
        <f t="shared" si="1"/>
        <v>https://federallibrary.us/DOD/DODI/1025.02/CURRENT/TITLE.html</v>
      </c>
      <c r="I33" t="str">
        <f t="shared" si="2"/>
        <v>&lt;tr&gt; &lt;td&gt; &lt;a href=https://federallibrary.us/DOD/DODI/1025.02/CURRENT/TITLE.html&gt; DODI 1025.02&lt;/a&gt; &lt;/td&gt; &lt;td&gt; National Security Education Program (NSEP) and NSEP Service Agreement &lt;/td&gt; &lt;/tr&gt;</v>
      </c>
    </row>
    <row r="34" spans="1:9" x14ac:dyDescent="0.25">
      <c r="A34" t="s">
        <v>869</v>
      </c>
      <c r="B34" t="s">
        <v>871</v>
      </c>
      <c r="C34" t="str">
        <f t="shared" si="0"/>
        <v>1025.07</v>
      </c>
      <c r="D34" t="s">
        <v>1157</v>
      </c>
      <c r="E34" s="2">
        <v>44211</v>
      </c>
      <c r="G34" t="s">
        <v>35</v>
      </c>
      <c r="H34" t="str">
        <f t="shared" si="1"/>
        <v>https://federallibrary.us/DOD/DODI/1025.07/CURRENT/TITLE.html</v>
      </c>
      <c r="I34" t="str">
        <f t="shared" si="2"/>
        <v>&lt;tr&gt; &lt;td&gt; &lt;a href=https://federallibrary.us/DOD/DODI/1025.07/CURRENT/TITLE.html&gt; DODI 1025.07&lt;/a&gt; &lt;/td&gt; &lt;td&gt; DoD STARBASE Program &lt;/td&gt; &lt;/tr&gt;</v>
      </c>
    </row>
    <row r="35" spans="1:9" x14ac:dyDescent="0.25">
      <c r="A35" t="s">
        <v>869</v>
      </c>
      <c r="B35" t="s">
        <v>865</v>
      </c>
      <c r="C35" t="str">
        <f t="shared" si="0"/>
        <v>1025.08</v>
      </c>
      <c r="D35" t="s">
        <v>1157</v>
      </c>
      <c r="E35" s="2">
        <v>45232</v>
      </c>
      <c r="G35" t="s">
        <v>36</v>
      </c>
      <c r="H35" t="str">
        <f t="shared" si="1"/>
        <v>https://federallibrary.us/DOD/DODI/1025.08/CURRENT/TITLE.html</v>
      </c>
      <c r="I35" t="str">
        <f t="shared" si="2"/>
        <v>&lt;tr&gt; &lt;td&gt; &lt;a href=https://federallibrary.us/DOD/DODI/1025.08/CURRENT/TITLE.html&gt; DODI 1025.08&lt;/a&gt; &lt;/td&gt; &lt;td&gt; National Guard Youth Challenge Program &lt;/td&gt; &lt;/tr&gt;</v>
      </c>
    </row>
    <row r="36" spans="1:9" x14ac:dyDescent="0.25">
      <c r="A36" t="s">
        <v>869</v>
      </c>
      <c r="B36" t="s">
        <v>862</v>
      </c>
      <c r="C36" t="str">
        <f t="shared" si="0"/>
        <v>1025.09</v>
      </c>
      <c r="D36" t="s">
        <v>1157</v>
      </c>
      <c r="E36" s="2">
        <v>44874</v>
      </c>
      <c r="G36" t="s">
        <v>37</v>
      </c>
      <c r="H36" t="str">
        <f t="shared" si="1"/>
        <v>https://federallibrary.us/DOD/DODI/1025.09/CURRENT/TITLE.html</v>
      </c>
      <c r="I36" t="str">
        <f t="shared" si="2"/>
        <v>&lt;tr&gt; &lt;td&gt; &lt;a href=https://federallibrary.us/DOD/DODI/1025.09/CURRENT/TITLE.html&gt; DODI 1025.09&lt;/a&gt; &lt;/td&gt; &lt;td&gt; Science, Mathematics, and Research for Transformation Defense Education Program &lt;/td&gt; &lt;/tr&gt;</v>
      </c>
    </row>
    <row r="37" spans="1:9" x14ac:dyDescent="0.25">
      <c r="A37" t="s">
        <v>869</v>
      </c>
      <c r="B37" t="s">
        <v>863</v>
      </c>
      <c r="C37" t="str">
        <f t="shared" si="0"/>
        <v>1025.10</v>
      </c>
      <c r="D37" t="s">
        <v>1157</v>
      </c>
      <c r="E37" s="2">
        <v>43273</v>
      </c>
      <c r="G37" t="s">
        <v>38</v>
      </c>
      <c r="H37" t="str">
        <f t="shared" si="1"/>
        <v>https://federallibrary.us/DOD/DODI/1025.10/CURRENT/TITLE.html</v>
      </c>
      <c r="I37" t="str">
        <f t="shared" si="2"/>
        <v>&lt;tr&gt; &lt;td&gt; &lt;a href=https://federallibrary.us/DOD/DODI/1025.10/CURRENT/TITLE.html&gt; DODI 1025.10&lt;/a&gt; &lt;/td&gt; &lt;td&gt; Chief Financial Officer (CFO) Academy &lt;/td&gt; &lt;/tr&gt;</v>
      </c>
    </row>
    <row r="38" spans="1:9" x14ac:dyDescent="0.25">
      <c r="A38" t="s">
        <v>869</v>
      </c>
      <c r="B38" t="s">
        <v>847</v>
      </c>
      <c r="C38" t="str">
        <f t="shared" si="0"/>
        <v>1025.11</v>
      </c>
      <c r="D38" t="s">
        <v>1157</v>
      </c>
      <c r="E38" s="2">
        <v>44064</v>
      </c>
      <c r="G38" t="s">
        <v>39</v>
      </c>
      <c r="H38" t="str">
        <f t="shared" si="1"/>
        <v>https://federallibrary.us/DOD/DODI/1025.11/CURRENT/TITLE.html</v>
      </c>
      <c r="I38" t="str">
        <f t="shared" si="2"/>
        <v>&lt;tr&gt; &lt;td&gt; &lt;a href=https://federallibrary.us/DOD/DODI/1025.11/CURRENT/TITLE.html&gt; DODI 1025.11&lt;/a&gt; &lt;/td&gt; &lt;td&gt;  DoD Science, Technology, Engineering, and Mathematics (STEM) Education Programs and Activities &lt;/td&gt; &lt;/tr&gt;</v>
      </c>
    </row>
    <row r="39" spans="1:9" x14ac:dyDescent="0.25">
      <c r="A39" t="s">
        <v>872</v>
      </c>
      <c r="B39" t="s">
        <v>870</v>
      </c>
      <c r="C39" t="str">
        <f t="shared" si="0"/>
        <v>1030.02</v>
      </c>
      <c r="D39" t="s">
        <v>1157</v>
      </c>
      <c r="E39" s="2">
        <v>45134</v>
      </c>
      <c r="G39" t="s">
        <v>40</v>
      </c>
      <c r="H39" t="str">
        <f t="shared" si="1"/>
        <v>https://federallibrary.us/DOD/DODI/1030.02/CURRENT/TITLE.html</v>
      </c>
      <c r="I39" t="str">
        <f t="shared" si="2"/>
        <v>&lt;tr&gt; &lt;td&gt; &lt;a href=https://federallibrary.us/DOD/DODI/1030.02/CURRENT/TITLE.html&gt; DODI 1030.02&lt;/a&gt; &lt;/td&gt; &lt;td&gt; Victim and Witness Assistance  &lt;/td&gt; &lt;/tr&gt;</v>
      </c>
    </row>
    <row r="40" spans="1:9" x14ac:dyDescent="0.25">
      <c r="A40" t="s">
        <v>872</v>
      </c>
      <c r="B40" t="s">
        <v>867</v>
      </c>
      <c r="C40" t="str">
        <f t="shared" si="0"/>
        <v>1030.03</v>
      </c>
      <c r="D40" t="s">
        <v>1157</v>
      </c>
      <c r="E40" s="2">
        <v>45293</v>
      </c>
      <c r="G40" t="s">
        <v>41</v>
      </c>
      <c r="H40" t="str">
        <f t="shared" si="1"/>
        <v>https://federallibrary.us/DOD/DODI/1030.03/CURRENT/TITLE.html</v>
      </c>
      <c r="I40" t="str">
        <f t="shared" si="2"/>
        <v>&lt;tr&gt; &lt;td&gt; &lt;a href=https://federallibrary.us/DOD/DODI/1030.03/CURRENT/TITLE.html&gt; DODI 1030.03&lt;/a&gt; &lt;/td&gt; &lt;td&gt; Protections For DoD Personnel Against Personal Liability For Performing Their Official Duties &lt;/td&gt; &lt;/tr&gt;</v>
      </c>
    </row>
    <row r="41" spans="1:9" x14ac:dyDescent="0.25">
      <c r="A41" t="s">
        <v>872</v>
      </c>
      <c r="B41" t="s">
        <v>846</v>
      </c>
      <c r="C41" t="str">
        <f t="shared" si="0"/>
        <v>1030.04</v>
      </c>
      <c r="D41" t="s">
        <v>1157</v>
      </c>
      <c r="E41" s="2">
        <v>45411</v>
      </c>
      <c r="G41" t="s">
        <v>42</v>
      </c>
      <c r="H41" t="str">
        <f t="shared" si="1"/>
        <v>https://federallibrary.us/DOD/DODI/1030.04/CURRENT/TITLE.html</v>
      </c>
      <c r="I41" t="str">
        <f t="shared" si="2"/>
        <v>&lt;tr&gt; &lt;td&gt; &lt;a href=https://federallibrary.us/DOD/DODI/1030.04/CURRENT/TITLE.html&gt; DODI 1030.04&lt;/a&gt; &lt;/td&gt; &lt;td&gt; Special Victims' Counsel Programs &lt;/td&gt; &lt;/tr&gt;</v>
      </c>
    </row>
    <row r="42" spans="1:9" x14ac:dyDescent="0.25">
      <c r="A42" t="s">
        <v>873</v>
      </c>
      <c r="B42" t="s">
        <v>845</v>
      </c>
      <c r="C42" t="str">
        <f t="shared" si="0"/>
        <v>1035.01</v>
      </c>
      <c r="D42" t="s">
        <v>1157</v>
      </c>
      <c r="E42" s="2">
        <v>45299</v>
      </c>
      <c r="G42" t="s">
        <v>43</v>
      </c>
      <c r="H42" t="str">
        <f t="shared" si="1"/>
        <v>https://federallibrary.us/DOD/DODI/1035.01/CURRENT/TITLE.html</v>
      </c>
      <c r="I42" t="str">
        <f t="shared" si="2"/>
        <v>&lt;tr&gt; &lt;td&gt; &lt;a href=https://federallibrary.us/DOD/DODI/1035.01/CURRENT/TITLE.html&gt; DODI 1035.01&lt;/a&gt; &lt;/td&gt; &lt;td&gt; Telework And Remote Work &lt;/td&gt; &lt;/tr&gt;</v>
      </c>
    </row>
    <row r="43" spans="1:9" x14ac:dyDescent="0.25">
      <c r="A43" t="s">
        <v>874</v>
      </c>
      <c r="B43" t="s">
        <v>858</v>
      </c>
      <c r="C43" t="str">
        <f t="shared" si="0"/>
        <v>1100.06</v>
      </c>
      <c r="D43" t="s">
        <v>1157</v>
      </c>
      <c r="E43" s="2">
        <v>44404</v>
      </c>
      <c r="G43" t="s">
        <v>44</v>
      </c>
      <c r="H43" t="str">
        <f t="shared" si="1"/>
        <v>https://federallibrary.us/DOD/DODI/1100.06/CURRENT/TITLE.html</v>
      </c>
      <c r="I43" t="str">
        <f t="shared" si="2"/>
        <v>&lt;tr&gt; &lt;td&gt; &lt;a href=https://federallibrary.us/DOD/DODI/1100.06/CURRENT/TITLE.html&gt; DODI 1100.06&lt;/a&gt; &lt;/td&gt; &lt;td&gt; National Defense Executive Reserve &lt;/td&gt; &lt;/tr&gt;</v>
      </c>
    </row>
    <row r="44" spans="1:9" x14ac:dyDescent="0.25">
      <c r="A44" t="s">
        <v>874</v>
      </c>
      <c r="B44" t="s">
        <v>848</v>
      </c>
      <c r="C44" t="str">
        <f t="shared" si="0"/>
        <v>1100.13</v>
      </c>
      <c r="D44" t="s">
        <v>1157</v>
      </c>
      <c r="E44" s="2">
        <v>42825</v>
      </c>
      <c r="G44" t="s">
        <v>45</v>
      </c>
      <c r="H44" t="str">
        <f t="shared" si="1"/>
        <v>https://federallibrary.us/DOD/DODI/1100.13/CURRENT/TITLE.html</v>
      </c>
      <c r="I44" t="str">
        <f t="shared" si="2"/>
        <v>&lt;tr&gt; &lt;td&gt; &lt;a href=https://federallibrary.us/DOD/DODI/1100.13/CURRENT/TITLE.html&gt; DODI 1100.13&lt;/a&gt; &lt;/td&gt; &lt;td&gt; DoD Surveys &lt;/td&gt; &lt;/tr&gt;</v>
      </c>
    </row>
    <row r="45" spans="1:9" x14ac:dyDescent="0.25">
      <c r="A45" t="s">
        <v>874</v>
      </c>
      <c r="B45" t="s">
        <v>860</v>
      </c>
      <c r="C45" t="str">
        <f t="shared" si="0"/>
        <v>1100.16</v>
      </c>
      <c r="D45" t="s">
        <v>1157</v>
      </c>
      <c r="E45" s="2">
        <v>32734</v>
      </c>
      <c r="G45" t="s">
        <v>46</v>
      </c>
      <c r="H45" t="str">
        <f t="shared" si="1"/>
        <v>https://federallibrary.us/DOD/DODI/1100.16/CURRENT/TITLE.html</v>
      </c>
      <c r="I45" t="str">
        <f t="shared" si="2"/>
        <v>&lt;tr&gt; &lt;td&gt; &lt;a href=https://federallibrary.us/DOD/DODI/1100.16/CURRENT/TITLE.html&gt; DODI 1100.16&lt;/a&gt; &lt;/td&gt; &lt;td&gt; Equal Opportunity in Off-Base Housing &lt;/td&gt; &lt;/tr&gt;</v>
      </c>
    </row>
    <row r="46" spans="1:9" x14ac:dyDescent="0.25">
      <c r="A46" t="s">
        <v>874</v>
      </c>
      <c r="B46" t="s">
        <v>875</v>
      </c>
      <c r="C46" t="str">
        <f t="shared" si="0"/>
        <v>1100.21</v>
      </c>
      <c r="D46" t="s">
        <v>1157</v>
      </c>
      <c r="E46" s="2">
        <v>43551</v>
      </c>
      <c r="G46" t="s">
        <v>47</v>
      </c>
      <c r="H46" t="str">
        <f t="shared" si="1"/>
        <v>https://federallibrary.us/DOD/DODI/1100.21/CURRENT/TITLE.html</v>
      </c>
      <c r="I46" t="str">
        <f t="shared" si="2"/>
        <v>&lt;tr&gt; &lt;td&gt; &lt;a href=https://federallibrary.us/DOD/DODI/1100.21/CURRENT/TITLE.html&gt; DODI 1100.21&lt;/a&gt; &lt;/td&gt; &lt;td&gt; Voluntary Services in the Department of Defense &lt;/td&gt; &lt;/tr&gt;</v>
      </c>
    </row>
    <row r="47" spans="1:9" x14ac:dyDescent="0.25">
      <c r="A47" t="s">
        <v>874</v>
      </c>
      <c r="B47" t="s">
        <v>876</v>
      </c>
      <c r="C47" t="str">
        <f t="shared" si="0"/>
        <v>1100.22</v>
      </c>
      <c r="D47" t="s">
        <v>1157</v>
      </c>
      <c r="E47" s="2">
        <v>43070</v>
      </c>
      <c r="G47" t="s">
        <v>48</v>
      </c>
      <c r="H47" t="str">
        <f t="shared" si="1"/>
        <v>https://federallibrary.us/DOD/DODI/1100.22/CURRENT/TITLE.html</v>
      </c>
      <c r="I47" t="str">
        <f t="shared" si="2"/>
        <v>&lt;tr&gt; &lt;td&gt; &lt;a href=https://federallibrary.us/DOD/DODI/1100.22/CURRENT/TITLE.html&gt; DODI 1100.22&lt;/a&gt; &lt;/td&gt; &lt;td&gt; Policy and Procedures for Determining Workforce Mix &lt;/td&gt; &lt;/tr&gt;</v>
      </c>
    </row>
    <row r="48" spans="1:9" x14ac:dyDescent="0.25">
      <c r="A48" t="s">
        <v>874</v>
      </c>
      <c r="B48" t="s">
        <v>877</v>
      </c>
      <c r="C48" t="str">
        <f t="shared" si="0"/>
        <v>1100.23</v>
      </c>
      <c r="D48" t="s">
        <v>1157</v>
      </c>
      <c r="E48" s="2">
        <v>43983</v>
      </c>
      <c r="G48" t="s">
        <v>49</v>
      </c>
      <c r="H48" t="str">
        <f t="shared" si="1"/>
        <v>https://federallibrary.us/DOD/DODI/1100.23/CURRENT/TITLE.html</v>
      </c>
      <c r="I48" t="str">
        <f t="shared" si="2"/>
        <v>&lt;tr&gt; &lt;td&gt; &lt;a href=https://federallibrary.us/DOD/DODI/1100.23/CURRENT/TITLE.html&gt; DODI 1100.23&lt;/a&gt; &lt;/td&gt; &lt;td&gt; Detail of Personnel to OSD &lt;/td&gt; &lt;/tr&gt;</v>
      </c>
    </row>
    <row r="49" spans="1:9" x14ac:dyDescent="0.25">
      <c r="A49" t="s">
        <v>874</v>
      </c>
      <c r="B49" t="s">
        <v>878</v>
      </c>
      <c r="C49" t="str">
        <f t="shared" si="0"/>
        <v>1100.24</v>
      </c>
      <c r="D49" t="s">
        <v>1157</v>
      </c>
      <c r="E49" s="2">
        <v>43956</v>
      </c>
      <c r="G49" t="s">
        <v>50</v>
      </c>
      <c r="H49" t="str">
        <f t="shared" si="1"/>
        <v>https://federallibrary.us/DOD/DODI/1100.24/CURRENT/TITLE.html</v>
      </c>
      <c r="I49" t="str">
        <f t="shared" si="2"/>
        <v>&lt;tr&gt; &lt;td&gt; &lt;a href=https://federallibrary.us/DOD/DODI/1100.24/CURRENT/TITLE.html&gt; DODI 1100.24&lt;/a&gt; &lt;/td&gt; &lt;td&gt; Innovative Readiness Training (IRT): Support and Services for Eligible Organizations and Activities Outside DoD &lt;/td&gt; &lt;/tr&gt;</v>
      </c>
    </row>
    <row r="50" spans="1:9" x14ac:dyDescent="0.25">
      <c r="A50" t="s">
        <v>879</v>
      </c>
      <c r="B50" t="s">
        <v>870</v>
      </c>
      <c r="C50" t="str">
        <f t="shared" si="0"/>
        <v>1110.02</v>
      </c>
      <c r="D50" t="s">
        <v>1157</v>
      </c>
      <c r="E50" s="2">
        <v>45223</v>
      </c>
      <c r="G50" t="s">
        <v>51</v>
      </c>
      <c r="H50" t="str">
        <f t="shared" si="1"/>
        <v>https://federallibrary.us/DOD/DODI/1110.02/CURRENT/TITLE.html</v>
      </c>
      <c r="I50" t="str">
        <f t="shared" si="2"/>
        <v>&lt;tr&gt; &lt;td&gt; &lt;a href=https://federallibrary.us/DOD/DODI/1110.02/CURRENT/TITLE.html&gt; DODI 1110.02&lt;/a&gt; &lt;/td&gt; &lt;td&gt; National Language Service Corps (NLSC) &lt;/td&gt; &lt;/tr&gt;</v>
      </c>
    </row>
    <row r="51" spans="1:9" x14ac:dyDescent="0.25">
      <c r="A51" t="s">
        <v>880</v>
      </c>
      <c r="B51" t="s">
        <v>847</v>
      </c>
      <c r="C51" t="str">
        <f t="shared" si="0"/>
        <v>1120.11</v>
      </c>
      <c r="D51" t="s">
        <v>1157</v>
      </c>
      <c r="E51" s="2">
        <v>42080</v>
      </c>
      <c r="G51" t="s">
        <v>52</v>
      </c>
      <c r="H51" t="str">
        <f t="shared" si="1"/>
        <v>https://federallibrary.us/DOD/DODI/1120.11/CURRENT/TITLE.html</v>
      </c>
      <c r="I51" t="str">
        <f t="shared" si="2"/>
        <v>&lt;tr&gt; &lt;td&gt; &lt;a href=https://federallibrary.us/DOD/DODI/1120.11/CURRENT/TITLE.html&gt; DODI 1120.11&lt;/a&gt; &lt;/td&gt; &lt;td&gt; Programming and Accounting for Active Component (AC) Military Manpower &lt;/td&gt; &lt;/tr&gt;</v>
      </c>
    </row>
    <row r="52" spans="1:9" x14ac:dyDescent="0.25">
      <c r="A52" t="s">
        <v>881</v>
      </c>
      <c r="B52" t="s">
        <v>867</v>
      </c>
      <c r="C52" t="str">
        <f t="shared" si="0"/>
        <v>1125.03</v>
      </c>
      <c r="D52" t="s">
        <v>1157</v>
      </c>
      <c r="E52" s="2">
        <v>43070</v>
      </c>
      <c r="G52" t="s">
        <v>53</v>
      </c>
      <c r="H52" t="str">
        <f t="shared" si="1"/>
        <v>https://federallibrary.us/DOD/DODI/1125.03/CURRENT/TITLE.html</v>
      </c>
      <c r="I52" t="str">
        <f t="shared" si="2"/>
        <v>&lt;tr&gt; &lt;td&gt; &lt;a href=https://federallibrary.us/DOD/DODI/1125.03/CURRENT/TITLE.html&gt; DODI 1125.03&lt;/a&gt; &lt;/td&gt; &lt;td&gt; Vending Facility Program for the Blind on DoD-Controlled Federal Property &lt;/td&gt; &lt;/tr&gt;</v>
      </c>
    </row>
    <row r="53" spans="1:9" x14ac:dyDescent="0.25">
      <c r="A53" t="s">
        <v>882</v>
      </c>
      <c r="B53" t="s">
        <v>845</v>
      </c>
      <c r="C53" t="str">
        <f t="shared" si="0"/>
        <v>1145.01</v>
      </c>
      <c r="D53" t="s">
        <v>1157</v>
      </c>
      <c r="E53" s="2">
        <v>43955</v>
      </c>
      <c r="G53" t="s">
        <v>54</v>
      </c>
      <c r="H53" t="str">
        <f t="shared" si="1"/>
        <v>https://federallibrary.us/DOD/DODI/1145.01/CURRENT/TITLE.html</v>
      </c>
      <c r="I53" t="str">
        <f t="shared" si="2"/>
        <v>&lt;tr&gt; &lt;td&gt; &lt;a href=https://federallibrary.us/DOD/DODI/1145.01/CURRENT/TITLE.html&gt; DODI 1145.01&lt;/a&gt; &lt;/td&gt; &lt;td&gt; Qualitative Distribution of Military Manpower &lt;/td&gt; &lt;/tr&gt;</v>
      </c>
    </row>
    <row r="54" spans="1:9" x14ac:dyDescent="0.25">
      <c r="A54" t="s">
        <v>883</v>
      </c>
      <c r="B54" t="s">
        <v>871</v>
      </c>
      <c r="C54" t="str">
        <f t="shared" si="0"/>
        <v>1200.07</v>
      </c>
      <c r="D54" t="s">
        <v>1157</v>
      </c>
      <c r="E54" s="2">
        <v>44218</v>
      </c>
      <c r="G54" t="s">
        <v>55</v>
      </c>
      <c r="H54" t="str">
        <f t="shared" si="1"/>
        <v>https://federallibrary.us/DOD/DODI/1200.07/CURRENT/TITLE.html</v>
      </c>
      <c r="I54" t="str">
        <f t="shared" si="2"/>
        <v>&lt;tr&gt; &lt;td&gt; &lt;a href=https://federallibrary.us/DOD/DODI/1200.07/CURRENT/TITLE.html&gt; DODI 1200.07&lt;/a&gt; &lt;/td&gt; &lt;td&gt; Screening the Ready Reserve &lt;/td&gt; &lt;/tr&gt;</v>
      </c>
    </row>
    <row r="55" spans="1:9" x14ac:dyDescent="0.25">
      <c r="A55" t="s">
        <v>883</v>
      </c>
      <c r="B55" t="s">
        <v>849</v>
      </c>
      <c r="C55" t="str">
        <f t="shared" si="0"/>
        <v>1200.15</v>
      </c>
      <c r="D55" t="s">
        <v>1157</v>
      </c>
      <c r="E55" s="2">
        <v>43776</v>
      </c>
      <c r="G55" t="s">
        <v>56</v>
      </c>
      <c r="H55" t="str">
        <f t="shared" si="1"/>
        <v>https://federallibrary.us/DOD/DODI/1200.15/CURRENT/TITLE.html</v>
      </c>
      <c r="I55" t="str">
        <f t="shared" si="2"/>
        <v>&lt;tr&gt; &lt;td&gt; &lt;a href=https://federallibrary.us/DOD/DODI/1200.15/CURRENT/TITLE.html&gt; DODI 1200.15&lt;/a&gt; &lt;/td&gt; &lt;td&gt; Assignment to and Transfer Between Reserve Categories and Discharge from Reserve Status &lt;/td&gt; &lt;/tr&gt;</v>
      </c>
    </row>
    <row r="56" spans="1:9" x14ac:dyDescent="0.25">
      <c r="A56" t="s">
        <v>883</v>
      </c>
      <c r="B56" t="s">
        <v>884</v>
      </c>
      <c r="C56" t="str">
        <f t="shared" si="0"/>
        <v>1200.18</v>
      </c>
      <c r="D56" t="s">
        <v>1157</v>
      </c>
      <c r="E56" s="2">
        <v>44636</v>
      </c>
      <c r="G56" t="s">
        <v>57</v>
      </c>
      <c r="H56" t="str">
        <f t="shared" si="1"/>
        <v>https://federallibrary.us/DOD/DODI/1200.18/CURRENT/TITLE.html</v>
      </c>
      <c r="I56" t="str">
        <f t="shared" si="2"/>
        <v>&lt;tr&gt; &lt;td&gt; &lt;a href=https://federallibrary.us/DOD/DODI/1200.18/CURRENT/TITLE.html&gt; DODI 1200.18&lt;/a&gt; &lt;/td&gt; &lt;td&gt; The United States Property and Fiscal Officer (USPFO) Program &lt;/td&gt; &lt;/tr&gt;</v>
      </c>
    </row>
    <row r="57" spans="1:9" x14ac:dyDescent="0.25">
      <c r="A57" t="s">
        <v>885</v>
      </c>
      <c r="B57" t="s">
        <v>886</v>
      </c>
      <c r="C57" t="str">
        <f t="shared" si="0"/>
        <v>1205.12</v>
      </c>
      <c r="D57" t="s">
        <v>1157</v>
      </c>
      <c r="E57" s="2">
        <v>42510</v>
      </c>
      <c r="G57" t="s">
        <v>58</v>
      </c>
      <c r="H57" t="str">
        <f t="shared" si="1"/>
        <v>https://federallibrary.us/DOD/DODI/1205.12/CURRENT/TITLE.html</v>
      </c>
      <c r="I57" t="str">
        <f t="shared" si="2"/>
        <v>&lt;tr&gt; &lt;td&gt; &lt;a href=https://federallibrary.us/DOD/DODI/1205.12/CURRENT/TITLE.html&gt; DODI 1205.12&lt;/a&gt; &lt;/td&gt; &lt;td&gt; Civilian Employment and Reemployment Rights for Service Members, Former Service Members and Applicants of the Uniformed Services &lt;/td&gt; &lt;/tr&gt;</v>
      </c>
    </row>
    <row r="58" spans="1:9" x14ac:dyDescent="0.25">
      <c r="A58" t="s">
        <v>885</v>
      </c>
      <c r="B58" t="s">
        <v>848</v>
      </c>
      <c r="C58" t="str">
        <f t="shared" si="0"/>
        <v>1205.13</v>
      </c>
      <c r="D58" t="s">
        <v>1157</v>
      </c>
      <c r="E58" s="2">
        <v>45365</v>
      </c>
      <c r="G58" t="s">
        <v>59</v>
      </c>
      <c r="H58" t="str">
        <f t="shared" si="1"/>
        <v>https://federallibrary.us/DOD/DODI/1205.13/CURRENT/TITLE.html</v>
      </c>
      <c r="I58" t="str">
        <f t="shared" si="2"/>
        <v>&lt;tr&gt; &lt;td&gt; &lt;a href=https://federallibrary.us/DOD/DODI/1205.13/CURRENT/TITLE.html&gt; DODI 1205.13&lt;/a&gt; &lt;/td&gt; &lt;td&gt; Junior Reserve Officers' Training Corps Program &lt;/td&gt; &lt;/tr&gt;</v>
      </c>
    </row>
    <row r="59" spans="1:9" x14ac:dyDescent="0.25">
      <c r="A59" t="s">
        <v>885</v>
      </c>
      <c r="B59" t="s">
        <v>884</v>
      </c>
      <c r="C59" t="str">
        <f t="shared" si="0"/>
        <v>1205.18</v>
      </c>
      <c r="D59" t="s">
        <v>1157</v>
      </c>
      <c r="E59" s="2">
        <v>43987</v>
      </c>
      <c r="G59" t="s">
        <v>60</v>
      </c>
      <c r="H59" t="str">
        <f t="shared" si="1"/>
        <v>https://federallibrary.us/DOD/DODI/1205.18/CURRENT/TITLE.html</v>
      </c>
      <c r="I59" t="str">
        <f t="shared" si="2"/>
        <v>&lt;tr&gt; &lt;td&gt; &lt;a href=https://federallibrary.us/DOD/DODI/1205.18/CURRENT/TITLE.html&gt; DODI 1205.18&lt;/a&gt; &lt;/td&gt; &lt;td&gt; Full-Time Support (FTS) to the Reserve Components &lt;/td&gt; &lt;/tr&gt;</v>
      </c>
    </row>
    <row r="60" spans="1:9" x14ac:dyDescent="0.25">
      <c r="A60" t="s">
        <v>885</v>
      </c>
      <c r="B60" t="s">
        <v>876</v>
      </c>
      <c r="C60" t="str">
        <f t="shared" si="0"/>
        <v>1205.22</v>
      </c>
      <c r="D60" t="s">
        <v>1157</v>
      </c>
      <c r="E60" s="2">
        <v>42772</v>
      </c>
      <c r="G60" t="s">
        <v>61</v>
      </c>
      <c r="H60" t="str">
        <f t="shared" si="1"/>
        <v>https://federallibrary.us/DOD/DODI/1205.22/CURRENT/TITLE.html</v>
      </c>
      <c r="I60" t="str">
        <f t="shared" si="2"/>
        <v>&lt;tr&gt; &lt;td&gt; &lt;a href=https://federallibrary.us/DOD/DODI/1205.22/CURRENT/TITLE.html&gt; DODI 1205.22&lt;/a&gt; &lt;/td&gt; &lt;td&gt; Employer Support of the Guard and Reserve (ESGR) &lt;/td&gt; &lt;/tr&gt;</v>
      </c>
    </row>
    <row r="61" spans="1:9" x14ac:dyDescent="0.25">
      <c r="A61" t="s">
        <v>887</v>
      </c>
      <c r="B61" t="s">
        <v>858</v>
      </c>
      <c r="C61" t="str">
        <f t="shared" si="0"/>
        <v>1215.06</v>
      </c>
      <c r="D61" t="s">
        <v>1157</v>
      </c>
      <c r="E61" s="2">
        <v>44754</v>
      </c>
      <c r="G61" t="s">
        <v>62</v>
      </c>
      <c r="H61" t="str">
        <f t="shared" si="1"/>
        <v>https://federallibrary.us/DOD/DODI/1215.06/CURRENT/TITLE.html</v>
      </c>
      <c r="I61" t="str">
        <f t="shared" si="2"/>
        <v>&lt;tr&gt; &lt;td&gt; &lt;a href=https://federallibrary.us/DOD/DODI/1215.06/CURRENT/TITLE.html&gt; DODI 1215.06&lt;/a&gt; &lt;/td&gt; &lt;td&gt; Uniform Reserve, Training, and, Retirement Categories for the Reserve Components &lt;/td&gt; &lt;/tr&gt;</v>
      </c>
    </row>
    <row r="62" spans="1:9" x14ac:dyDescent="0.25">
      <c r="A62" t="s">
        <v>887</v>
      </c>
      <c r="B62" t="s">
        <v>871</v>
      </c>
      <c r="C62" t="str">
        <f t="shared" si="0"/>
        <v>1215.07</v>
      </c>
      <c r="D62" t="s">
        <v>1157</v>
      </c>
      <c r="E62" s="2">
        <v>44333</v>
      </c>
      <c r="G62" t="s">
        <v>63</v>
      </c>
      <c r="H62" t="str">
        <f t="shared" si="1"/>
        <v>https://federallibrary.us/DOD/DODI/1215.07/CURRENT/TITLE.html</v>
      </c>
      <c r="I62" t="str">
        <f t="shared" si="2"/>
        <v>&lt;tr&gt; &lt;td&gt; &lt;a href=https://federallibrary.us/DOD/DODI/1215.07/CURRENT/TITLE.html&gt; DODI 1215.07&lt;/a&gt; &lt;/td&gt; &lt;td&gt; Service Credit for Non-Regular Retirement &lt;/td&gt; &lt;/tr&gt;</v>
      </c>
    </row>
    <row r="63" spans="1:9" x14ac:dyDescent="0.25">
      <c r="A63" t="s">
        <v>887</v>
      </c>
      <c r="B63" t="s">
        <v>865</v>
      </c>
      <c r="C63" t="str">
        <f t="shared" si="0"/>
        <v>1215.08</v>
      </c>
      <c r="D63" t="s">
        <v>1157</v>
      </c>
      <c r="E63" s="2">
        <v>43166</v>
      </c>
      <c r="G63" t="s">
        <v>64</v>
      </c>
      <c r="H63" t="str">
        <f t="shared" si="1"/>
        <v>https://federallibrary.us/DOD/DODI/1215.08/CURRENT/TITLE.html</v>
      </c>
      <c r="I63" t="str">
        <f t="shared" si="2"/>
        <v>&lt;tr&gt; &lt;td&gt; &lt;a href=https://federallibrary.us/DOD/DODI/1215.08/CURRENT/TITLE.html&gt; DODI 1215.08&lt;/a&gt; &lt;/td&gt; &lt;td&gt; Senior Reserve Officers' Training Corps (ROTC) Programs &lt;/td&gt; &lt;/tr&gt;</v>
      </c>
    </row>
    <row r="64" spans="1:9" x14ac:dyDescent="0.25">
      <c r="A64" t="s">
        <v>887</v>
      </c>
      <c r="B64" t="s">
        <v>848</v>
      </c>
      <c r="C64" t="str">
        <f t="shared" si="0"/>
        <v>1215.13</v>
      </c>
      <c r="D64" t="s">
        <v>1157</v>
      </c>
      <c r="E64" s="2">
        <v>42129</v>
      </c>
      <c r="G64" t="s">
        <v>65</v>
      </c>
      <c r="H64" t="str">
        <f t="shared" si="1"/>
        <v>https://federallibrary.us/DOD/DODI/1215.13/CURRENT/TITLE.html</v>
      </c>
      <c r="I64" t="str">
        <f t="shared" si="2"/>
        <v>&lt;tr&gt; &lt;td&gt; &lt;a href=https://federallibrary.us/DOD/DODI/1215.13/CURRENT/TITLE.html&gt; DODI 1215.13&lt;/a&gt; &lt;/td&gt; &lt;td&gt; Ready Reserve Member Participation Policy &lt;/td&gt; &lt;/tr&gt;</v>
      </c>
    </row>
    <row r="65" spans="1:9" x14ac:dyDescent="0.25">
      <c r="A65" t="s">
        <v>887</v>
      </c>
      <c r="B65" t="s">
        <v>849</v>
      </c>
      <c r="C65" t="str">
        <f t="shared" si="0"/>
        <v>1215.15</v>
      </c>
      <c r="D65" t="s">
        <v>1157</v>
      </c>
      <c r="E65" s="2">
        <v>42656</v>
      </c>
      <c r="G65" t="s">
        <v>66</v>
      </c>
      <c r="H65" t="str">
        <f t="shared" si="1"/>
        <v>https://federallibrary.us/DOD/DODI/1215.15/CURRENT/TITLE.html</v>
      </c>
      <c r="I65" t="str">
        <f t="shared" si="2"/>
        <v>&lt;tr&gt; &lt;td&gt; &lt;a href=https://federallibrary.us/DOD/DODI/1215.15/CURRENT/TITLE.html&gt; DODI 1215.15&lt;/a&gt; &lt;/td&gt; &lt;td&gt; Military Reserve Exchange Program (MREP) &lt;/td&gt; &lt;/tr&gt;</v>
      </c>
    </row>
    <row r="66" spans="1:9" x14ac:dyDescent="0.25">
      <c r="A66" t="s">
        <v>887</v>
      </c>
      <c r="B66" t="s">
        <v>850</v>
      </c>
      <c r="C66" t="str">
        <f t="shared" si="0"/>
        <v>1215.17</v>
      </c>
      <c r="D66" t="s">
        <v>1157</v>
      </c>
      <c r="E66" s="2">
        <v>43956</v>
      </c>
      <c r="G66" t="s">
        <v>67</v>
      </c>
      <c r="H66" t="str">
        <f t="shared" si="1"/>
        <v>https://federallibrary.us/DOD/DODI/1215.17/CURRENT/TITLE.html</v>
      </c>
      <c r="I66" t="str">
        <f t="shared" si="2"/>
        <v>&lt;tr&gt; &lt;td&gt; &lt;a href=https://federallibrary.us/DOD/DODI/1215.17/CURRENT/TITLE.html&gt; DODI 1215.17&lt;/a&gt; &lt;/td&gt; &lt;td&gt; Educational Requirements for Appointment to a Grade Above First Lieutenant or Lieutenant (Junior Grade) in a Reserve Component &lt;/td&gt; &lt;/tr&gt;</v>
      </c>
    </row>
    <row r="67" spans="1:9" x14ac:dyDescent="0.25">
      <c r="A67" t="s">
        <v>887</v>
      </c>
      <c r="B67" t="s">
        <v>875</v>
      </c>
      <c r="C67" t="str">
        <f t="shared" ref="C67:C130" si="3">_xlfn.CONCAT(A67,".",B67)</f>
        <v>1215.21</v>
      </c>
      <c r="D67" t="s">
        <v>1157</v>
      </c>
      <c r="E67" s="2">
        <v>43963</v>
      </c>
      <c r="G67" t="s">
        <v>68</v>
      </c>
      <c r="H67" t="str">
        <f t="shared" ref="H67:H130" si="4">IF(D67="CURRENT",_xlfn.CONCAT("https://federallibrary.us/DOD/DODI/",C67,"/CURRENT/TITLE.html"),"")</f>
        <v>https://federallibrary.us/DOD/DODI/1215.21/CURRENT/TITLE.html</v>
      </c>
      <c r="I67" t="str">
        <f t="shared" ref="I67:I130" si="5">IF(D67="CURRENT",_xlfn.CONCAT("&lt;tr&gt; &lt;td&gt; &lt;a href=",H67,"&gt; DODI ",C67, "&lt;/a&gt; &lt;/td&gt; &lt;td&gt; ", G67, " &lt;/td&gt; &lt;/tr&gt;"),"")</f>
        <v>&lt;tr&gt; &lt;td&gt; &lt;a href=https://federallibrary.us/DOD/DODI/1215.21/CURRENT/TITLE.html&gt; DODI 1215.21&lt;/a&gt; &lt;/td&gt; &lt;td&gt; Reserve Component (RC) Use of Electronic-Based Distributed Learning Methods for Training &lt;/td&gt; &lt;/tr&gt;</v>
      </c>
    </row>
    <row r="68" spans="1:9" x14ac:dyDescent="0.25">
      <c r="A68" t="s">
        <v>887</v>
      </c>
      <c r="B68" t="s">
        <v>876</v>
      </c>
      <c r="C68" t="str">
        <f t="shared" si="3"/>
        <v>1215.22</v>
      </c>
      <c r="D68" t="s">
        <v>1157</v>
      </c>
      <c r="E68" s="2">
        <v>42320</v>
      </c>
      <c r="G68" t="s">
        <v>69</v>
      </c>
      <c r="H68" t="str">
        <f t="shared" si="4"/>
        <v>https://federallibrary.us/DOD/DODI/1215.22/CURRENT/TITLE.html</v>
      </c>
      <c r="I68" t="str">
        <f t="shared" si="5"/>
        <v>&lt;tr&gt; &lt;td&gt; &lt;a href=https://federallibrary.us/DOD/DODI/1215.22/CURRENT/TITLE.html&gt; DODI 1215.22&lt;/a&gt; &lt;/td&gt; &lt;td&gt; Reserve Component Representation, North Atlantic Treaty Organization (NATO) National Reserve Forces Committee (NRFC) and NATO Schools &lt;/td&gt; &lt;/tr&gt;</v>
      </c>
    </row>
    <row r="69" spans="1:9" x14ac:dyDescent="0.25">
      <c r="A69" t="s">
        <v>888</v>
      </c>
      <c r="B69" t="s">
        <v>858</v>
      </c>
      <c r="C69" t="str">
        <f t="shared" si="3"/>
        <v>1225.06</v>
      </c>
      <c r="D69" t="s">
        <v>1157</v>
      </c>
      <c r="E69" s="2">
        <v>44740</v>
      </c>
      <c r="G69" t="s">
        <v>70</v>
      </c>
      <c r="H69" t="str">
        <f t="shared" si="4"/>
        <v>https://federallibrary.us/DOD/DODI/1225.06/CURRENT/TITLE.html</v>
      </c>
      <c r="I69" t="str">
        <f t="shared" si="5"/>
        <v>&lt;tr&gt; &lt;td&gt; &lt;a href=https://federallibrary.us/DOD/DODI/1225.06/CURRENT/TITLE.html&gt; DODI 1225.06&lt;/a&gt; &lt;/td&gt; &lt;td&gt; Equipping the Reserve Forces &lt;/td&gt; &lt;/tr&gt;</v>
      </c>
    </row>
    <row r="70" spans="1:9" x14ac:dyDescent="0.25">
      <c r="A70" t="s">
        <v>888</v>
      </c>
      <c r="B70" t="s">
        <v>865</v>
      </c>
      <c r="C70" t="str">
        <f t="shared" si="3"/>
        <v>1225.08</v>
      </c>
      <c r="D70" t="s">
        <v>1157</v>
      </c>
      <c r="E70" s="2">
        <v>43889</v>
      </c>
      <c r="G70" t="s">
        <v>71</v>
      </c>
      <c r="H70" t="str">
        <f t="shared" si="4"/>
        <v>https://federallibrary.us/DOD/DODI/1225.08/CURRENT/TITLE.html</v>
      </c>
      <c r="I70" t="str">
        <f t="shared" si="5"/>
        <v>&lt;tr&gt; &lt;td&gt; &lt;a href=https://federallibrary.us/DOD/DODI/1225.08/CURRENT/TITLE.html&gt; DODI 1225.08&lt;/a&gt; &lt;/td&gt; &lt;td&gt; Reserve Component (RC) Facilities Programs and Unit Stationing &lt;/td&gt; &lt;/tr&gt;</v>
      </c>
    </row>
    <row r="71" spans="1:9" x14ac:dyDescent="0.25">
      <c r="A71" t="s">
        <v>888</v>
      </c>
      <c r="B71" t="s">
        <v>862</v>
      </c>
      <c r="C71" t="str">
        <f t="shared" si="3"/>
        <v>1225.09</v>
      </c>
      <c r="D71" t="s">
        <v>1157</v>
      </c>
      <c r="E71" s="2">
        <v>37242</v>
      </c>
      <c r="G71" t="s">
        <v>72</v>
      </c>
      <c r="H71" t="str">
        <f t="shared" si="4"/>
        <v>https://federallibrary.us/DOD/DODI/1225.09/CURRENT/TITLE.html</v>
      </c>
      <c r="I71" t="str">
        <f t="shared" si="5"/>
        <v>&lt;tr&gt; &lt;td&gt; &lt;a href=https://federallibrary.us/DOD/DODI/1225.09/CURRENT/TITLE.html&gt; DODI 1225.09&lt;/a&gt; &lt;/td&gt; &lt;td&gt; Billeting for Reserve Component Members &lt;/td&gt; &lt;/tr&gt;</v>
      </c>
    </row>
    <row r="72" spans="1:9" x14ac:dyDescent="0.25">
      <c r="A72" t="s">
        <v>889</v>
      </c>
      <c r="B72" t="s">
        <v>862</v>
      </c>
      <c r="C72" t="str">
        <f t="shared" si="3"/>
        <v>1235.09</v>
      </c>
      <c r="D72" t="s">
        <v>1157</v>
      </c>
      <c r="E72" s="2">
        <v>45419</v>
      </c>
      <c r="G72" t="s">
        <v>73</v>
      </c>
      <c r="H72" t="str">
        <f t="shared" si="4"/>
        <v>https://federallibrary.us/DOD/DODI/1235.09/CURRENT/TITLE.html</v>
      </c>
      <c r="I72" t="str">
        <f t="shared" si="5"/>
        <v>&lt;tr&gt; &lt;td&gt; &lt;a href=https://federallibrary.us/DOD/DODI/1235.09/CURRENT/TITLE.html&gt; DODI 1235.09&lt;/a&gt; &lt;/td&gt; &lt;td&gt; Management of the Standby Reserve &lt;/td&gt; &lt;/tr&gt;</v>
      </c>
    </row>
    <row r="73" spans="1:9" x14ac:dyDescent="0.25">
      <c r="A73" t="s">
        <v>889</v>
      </c>
      <c r="B73" t="s">
        <v>847</v>
      </c>
      <c r="C73" t="str">
        <f t="shared" si="3"/>
        <v>1235.11</v>
      </c>
      <c r="D73" t="s">
        <v>1157</v>
      </c>
      <c r="E73" s="2">
        <v>42195</v>
      </c>
      <c r="G73" t="s">
        <v>74</v>
      </c>
      <c r="H73" t="str">
        <f t="shared" si="4"/>
        <v>https://federallibrary.us/DOD/DODI/1235.11/CURRENT/TITLE.html</v>
      </c>
      <c r="I73" t="str">
        <f t="shared" si="5"/>
        <v>&lt;tr&gt; &lt;td&gt; &lt;a href=https://federallibrary.us/DOD/DODI/1235.11/CURRENT/TITLE.html&gt; DODI 1235.11&lt;/a&gt; &lt;/td&gt; &lt;td&gt; Management of Individual Mobilization Augmentees (IMAs) &lt;/td&gt; &lt;/tr&gt;</v>
      </c>
    </row>
    <row r="74" spans="1:9" x14ac:dyDescent="0.25">
      <c r="A74" t="s">
        <v>889</v>
      </c>
      <c r="B74" t="s">
        <v>886</v>
      </c>
      <c r="C74" t="str">
        <f t="shared" si="3"/>
        <v>1235.12</v>
      </c>
      <c r="D74" t="s">
        <v>1157</v>
      </c>
      <c r="E74" s="2">
        <v>42794</v>
      </c>
      <c r="G74" t="s">
        <v>75</v>
      </c>
      <c r="H74" t="str">
        <f t="shared" si="4"/>
        <v>https://federallibrary.us/DOD/DODI/1235.12/CURRENT/TITLE.html</v>
      </c>
      <c r="I74" t="str">
        <f t="shared" si="5"/>
        <v>&lt;tr&gt; &lt;td&gt; &lt;a href=https://federallibrary.us/DOD/DODI/1235.12/CURRENT/TITLE.html&gt; DODI 1235.12&lt;/a&gt; &lt;/td&gt; &lt;td&gt; Accessing the Reserve Components (RC) &lt;/td&gt; &lt;/tr&gt;</v>
      </c>
    </row>
    <row r="75" spans="1:9" x14ac:dyDescent="0.25">
      <c r="A75" t="s">
        <v>889</v>
      </c>
      <c r="B75" t="s">
        <v>848</v>
      </c>
      <c r="C75" t="str">
        <f t="shared" si="3"/>
        <v>1235.13</v>
      </c>
      <c r="D75" t="s">
        <v>1157</v>
      </c>
      <c r="E75" s="2">
        <v>43951</v>
      </c>
      <c r="G75" t="s">
        <v>76</v>
      </c>
      <c r="H75" t="str">
        <f t="shared" si="4"/>
        <v>https://federallibrary.us/DOD/DODI/1235.13/CURRENT/TITLE.html</v>
      </c>
      <c r="I75" t="str">
        <f t="shared" si="5"/>
        <v>&lt;tr&gt; &lt;td&gt; &lt;a href=https://federallibrary.us/DOD/DODI/1235.13/CURRENT/TITLE.html&gt; DODI 1235.13&lt;/a&gt; &lt;/td&gt; &lt;td&gt; Administration and Management of the Individual Ready Reserve (IRR) and the Inactive National Guard (ING) &lt;/td&gt; &lt;/tr&gt;</v>
      </c>
    </row>
    <row r="76" spans="1:9" x14ac:dyDescent="0.25">
      <c r="A76" t="s">
        <v>890</v>
      </c>
      <c r="B76" t="s">
        <v>845</v>
      </c>
      <c r="C76" t="str">
        <f t="shared" si="3"/>
        <v>1241.01</v>
      </c>
      <c r="D76" t="s">
        <v>1157</v>
      </c>
      <c r="E76" s="2">
        <v>42479</v>
      </c>
      <c r="G76" t="s">
        <v>77</v>
      </c>
      <c r="H76" t="str">
        <f t="shared" si="4"/>
        <v>https://federallibrary.us/DOD/DODI/1241.01/CURRENT/TITLE.html</v>
      </c>
      <c r="I76" t="str">
        <f t="shared" si="5"/>
        <v>&lt;tr&gt; &lt;td&gt; &lt;a href=https://federallibrary.us/DOD/DODI/1241.01/CURRENT/TITLE.html&gt; DODI 1241.01&lt;/a&gt; &lt;/td&gt; &lt;td&gt; Reserve Component (RC) Line of Duty Determination for Medical and Dental Treatments and Incapacitation Pay Entitlements &lt;/td&gt; &lt;/tr&gt;</v>
      </c>
    </row>
    <row r="77" spans="1:9" x14ac:dyDescent="0.25">
      <c r="A77" t="s">
        <v>890</v>
      </c>
      <c r="B77" t="s">
        <v>868</v>
      </c>
      <c r="C77" t="str">
        <f t="shared" si="3"/>
        <v>1241.05</v>
      </c>
      <c r="D77" t="s">
        <v>1157</v>
      </c>
      <c r="E77" s="2">
        <v>43235</v>
      </c>
      <c r="G77" t="s">
        <v>78</v>
      </c>
      <c r="H77" t="str">
        <f t="shared" si="4"/>
        <v>https://federallibrary.us/DOD/DODI/1241.05/CURRENT/TITLE.html</v>
      </c>
      <c r="I77" t="str">
        <f t="shared" si="5"/>
        <v>&lt;tr&gt; &lt;td&gt; &lt;a href=https://federallibrary.us/DOD/DODI/1241.05/CURRENT/TITLE.html&gt; DODI 1241.05&lt;/a&gt; &lt;/td&gt; &lt;td&gt; Reserve Income Replacement Program (RIRP) &lt;/td&gt; &lt;/tr&gt;</v>
      </c>
    </row>
    <row r="78" spans="1:9" x14ac:dyDescent="0.25">
      <c r="A78" t="s">
        <v>890</v>
      </c>
      <c r="B78" t="s">
        <v>858</v>
      </c>
      <c r="C78" t="str">
        <f t="shared" si="3"/>
        <v>1241.06</v>
      </c>
      <c r="D78" t="s">
        <v>1157</v>
      </c>
      <c r="E78" s="2">
        <v>43670</v>
      </c>
      <c r="G78" t="s">
        <v>79</v>
      </c>
      <c r="H78" t="str">
        <f t="shared" si="4"/>
        <v>https://federallibrary.us/DOD/DODI/1241.06/CURRENT/TITLE.html</v>
      </c>
      <c r="I78" t="str">
        <f t="shared" si="5"/>
        <v>&lt;tr&gt; &lt;td&gt; &lt;a href=https://federallibrary.us/DOD/DODI/1241.06/CURRENT/TITLE.html&gt; DODI 1241.06&lt;/a&gt; &lt;/td&gt; &lt;td&gt; TRICARE Reserve Select and TRICARE Retired Reserve Programs &lt;/td&gt; &lt;/tr&gt;</v>
      </c>
    </row>
    <row r="79" spans="1:9" x14ac:dyDescent="0.25">
      <c r="A79" t="s">
        <v>891</v>
      </c>
      <c r="B79" t="s">
        <v>870</v>
      </c>
      <c r="C79" t="str">
        <f t="shared" si="3"/>
        <v>1250.02</v>
      </c>
      <c r="D79" t="s">
        <v>1157</v>
      </c>
      <c r="E79" s="2">
        <v>43951</v>
      </c>
      <c r="G79" t="s">
        <v>80</v>
      </c>
      <c r="H79" t="str">
        <f t="shared" si="4"/>
        <v>https://federallibrary.us/DOD/DODI/1250.02/CURRENT/TITLE.html</v>
      </c>
      <c r="I79" t="str">
        <f t="shared" si="5"/>
        <v>&lt;tr&gt; &lt;td&gt; &lt;a href=https://federallibrary.us/DOD/DODI/1250.02/CURRENT/TITLE.html&gt; DODI 1250.02&lt;/a&gt; &lt;/td&gt; &lt;td&gt; DoD Reserve Forces Senior Enlisted Advisors Council &lt;/td&gt; &lt;/tr&gt;</v>
      </c>
    </row>
    <row r="80" spans="1:9" x14ac:dyDescent="0.25">
      <c r="A80" t="s">
        <v>892</v>
      </c>
      <c r="B80" t="s">
        <v>846</v>
      </c>
      <c r="C80" t="str">
        <f t="shared" si="3"/>
        <v>1300.04</v>
      </c>
      <c r="D80" t="s">
        <v>1157</v>
      </c>
      <c r="E80" s="2">
        <v>42941</v>
      </c>
      <c r="G80" t="s">
        <v>81</v>
      </c>
      <c r="H80" t="str">
        <f t="shared" si="4"/>
        <v>https://federallibrary.us/DOD/DODI/1300.04/CURRENT/TITLE.html</v>
      </c>
      <c r="I80" t="str">
        <f t="shared" si="5"/>
        <v>&lt;tr&gt; &lt;td&gt; &lt;a href=https://federallibrary.us/DOD/DODI/1300.04/CURRENT/TITLE.html&gt; DODI 1300.04&lt;/a&gt; &lt;/td&gt; &lt;td&gt; Inter-Service and Inter-Component Transfers of Service Members &lt;/td&gt; &lt;/tr&gt;</v>
      </c>
    </row>
    <row r="81" spans="1:9" x14ac:dyDescent="0.25">
      <c r="A81" t="s">
        <v>892</v>
      </c>
      <c r="B81" t="s">
        <v>858</v>
      </c>
      <c r="C81" t="str">
        <f t="shared" si="3"/>
        <v>1300.06</v>
      </c>
      <c r="D81" t="s">
        <v>1157</v>
      </c>
      <c r="E81" s="2">
        <v>42928</v>
      </c>
      <c r="G81" t="s">
        <v>82</v>
      </c>
      <c r="H81" t="str">
        <f t="shared" si="4"/>
        <v>https://federallibrary.us/DOD/DODI/1300.06/CURRENT/TITLE.html</v>
      </c>
      <c r="I81" t="str">
        <f t="shared" si="5"/>
        <v>&lt;tr&gt; &lt;td&gt; &lt;a href=https://federallibrary.us/DOD/DODI/1300.06/CURRENT/TITLE.html&gt; DODI 1300.06&lt;/a&gt; &lt;/td&gt; &lt;td&gt; Conscientious Objectors &lt;/td&gt; &lt;/tr&gt;</v>
      </c>
    </row>
    <row r="82" spans="1:9" x14ac:dyDescent="0.25">
      <c r="A82" t="s">
        <v>892</v>
      </c>
      <c r="B82" t="s">
        <v>849</v>
      </c>
      <c r="C82" t="str">
        <f t="shared" si="3"/>
        <v>1300.15</v>
      </c>
      <c r="D82" t="s">
        <v>1157</v>
      </c>
      <c r="E82" s="2">
        <v>44295</v>
      </c>
      <c r="G82" t="s">
        <v>83</v>
      </c>
      <c r="H82" t="str">
        <f t="shared" si="4"/>
        <v>https://federallibrary.us/DOD/DODI/1300.15/CURRENT/TITLE.html</v>
      </c>
      <c r="I82" t="str">
        <f t="shared" si="5"/>
        <v>&lt;tr&gt; &lt;td&gt; &lt;a href=https://federallibrary.us/DOD/DODI/1300.15/CURRENT/TITLE.html&gt; DODI 1300.15&lt;/a&gt; &lt;/td&gt; &lt;td&gt; Military Funeral Support &lt;/td&gt; &lt;/tr&gt;</v>
      </c>
    </row>
    <row r="83" spans="1:9" x14ac:dyDescent="0.25">
      <c r="A83" t="s">
        <v>892</v>
      </c>
      <c r="B83" t="s">
        <v>850</v>
      </c>
      <c r="C83" t="str">
        <f t="shared" si="3"/>
        <v>1300.17</v>
      </c>
      <c r="D83" t="s">
        <v>1157</v>
      </c>
      <c r="E83" s="2">
        <v>44075</v>
      </c>
      <c r="G83" t="s">
        <v>84</v>
      </c>
      <c r="H83" t="str">
        <f t="shared" si="4"/>
        <v>https://federallibrary.us/DOD/DODI/1300.17/CURRENT/TITLE.html</v>
      </c>
      <c r="I83" t="str">
        <f t="shared" si="5"/>
        <v>&lt;tr&gt; &lt;td&gt; &lt;a href=https://federallibrary.us/DOD/DODI/1300.17/CURRENT/TITLE.html&gt; DODI 1300.17&lt;/a&gt; &lt;/td&gt; &lt;td&gt; Religious Liberty in the Military Services &lt;/td&gt; &lt;/tr&gt;</v>
      </c>
    </row>
    <row r="84" spans="1:9" x14ac:dyDescent="0.25">
      <c r="A84" t="s">
        <v>892</v>
      </c>
      <c r="B84" t="s">
        <v>884</v>
      </c>
      <c r="C84" t="str">
        <f t="shared" si="3"/>
        <v>1300.18</v>
      </c>
      <c r="D84" t="s">
        <v>1157</v>
      </c>
      <c r="E84" s="2">
        <v>45014</v>
      </c>
      <c r="G84" t="s">
        <v>85</v>
      </c>
      <c r="H84" t="str">
        <f t="shared" si="4"/>
        <v>https://federallibrary.us/DOD/DODI/1300.18/CURRENT/TITLE.html</v>
      </c>
      <c r="I84" t="str">
        <f t="shared" si="5"/>
        <v>&lt;tr&gt; &lt;td&gt; &lt;a href=https://federallibrary.us/DOD/DODI/1300.18/CURRENT/TITLE.html&gt; DODI 1300.18&lt;/a&gt; &lt;/td&gt; &lt;td&gt; DoD Personnel Casualty Matters, Policies, and Procedures &lt;/td&gt; &lt;/tr&gt;</v>
      </c>
    </row>
    <row r="85" spans="1:9" x14ac:dyDescent="0.25">
      <c r="A85" t="s">
        <v>892</v>
      </c>
      <c r="B85" t="s">
        <v>893</v>
      </c>
      <c r="C85" t="str">
        <f t="shared" si="3"/>
        <v>1300.19</v>
      </c>
      <c r="D85" t="s">
        <v>1157</v>
      </c>
      <c r="E85" s="2">
        <v>45064</v>
      </c>
      <c r="G85" t="s">
        <v>86</v>
      </c>
      <c r="H85" t="str">
        <f t="shared" si="4"/>
        <v>https://federallibrary.us/DOD/DODI/1300.19/CURRENT/TITLE.html</v>
      </c>
      <c r="I85" t="str">
        <f t="shared" si="5"/>
        <v>&lt;tr&gt; &lt;td&gt; &lt;a href=https://federallibrary.us/DOD/DODI/1300.19/CURRENT/TITLE.html&gt; DODI 1300.19&lt;/a&gt; &lt;/td&gt; &lt;td&gt; DoD Joint Officer Management Program &lt;/td&gt; &lt;/tr&gt;</v>
      </c>
    </row>
    <row r="86" spans="1:9" x14ac:dyDescent="0.25">
      <c r="A86" t="s">
        <v>892</v>
      </c>
      <c r="B86" t="s">
        <v>878</v>
      </c>
      <c r="C86" t="str">
        <f t="shared" si="3"/>
        <v>1300.24</v>
      </c>
      <c r="D86" t="s">
        <v>1157</v>
      </c>
      <c r="E86" s="2">
        <v>40148</v>
      </c>
      <c r="G86" t="s">
        <v>87</v>
      </c>
      <c r="H86" t="str">
        <f t="shared" si="4"/>
        <v>https://federallibrary.us/DOD/DODI/1300.24/CURRENT/TITLE.html</v>
      </c>
      <c r="I86" t="str">
        <f t="shared" si="5"/>
        <v>&lt;tr&gt; &lt;td&gt; &lt;a href=https://federallibrary.us/DOD/DODI/1300.24/CURRENT/TITLE.html&gt; DODI 1300.24&lt;/a&gt; &lt;/td&gt; &lt;td&gt; Recovery Coordination Program (RCP) &lt;/td&gt; &lt;/tr&gt;</v>
      </c>
    </row>
    <row r="87" spans="1:9" x14ac:dyDescent="0.25">
      <c r="A87" t="s">
        <v>892</v>
      </c>
      <c r="B87" t="s">
        <v>851</v>
      </c>
      <c r="C87" t="str">
        <f t="shared" si="3"/>
        <v>1300.25</v>
      </c>
      <c r="D87" t="s">
        <v>1157</v>
      </c>
      <c r="E87" s="2">
        <v>43948</v>
      </c>
      <c r="G87" t="s">
        <v>88</v>
      </c>
      <c r="H87" t="str">
        <f t="shared" si="4"/>
        <v>https://federallibrary.us/DOD/DODI/1300.25/CURRENT/TITLE.html</v>
      </c>
      <c r="I87" t="str">
        <f t="shared" si="5"/>
        <v>&lt;tr&gt; &lt;td&gt; &lt;a href=https://federallibrary.us/DOD/DODI/1300.25/CURRENT/TITLE.html&gt; DODI 1300.25&lt;/a&gt; &lt;/td&gt; &lt;td&gt; Guidance for the Education and Employment Initiative (E21) and Operation WARFIGHTER (OWF) &lt;/td&gt; &lt;/tr&gt;</v>
      </c>
    </row>
    <row r="88" spans="1:9" x14ac:dyDescent="0.25">
      <c r="A88" t="s">
        <v>892</v>
      </c>
      <c r="B88" t="s">
        <v>894</v>
      </c>
      <c r="C88" t="str">
        <f t="shared" si="3"/>
        <v>1300.26</v>
      </c>
      <c r="D88" t="s">
        <v>1157</v>
      </c>
      <c r="E88" s="2">
        <v>45211</v>
      </c>
      <c r="G88" t="s">
        <v>89</v>
      </c>
      <c r="H88" t="str">
        <f t="shared" si="4"/>
        <v>https://federallibrary.us/DOD/DODI/1300.26/CURRENT/TITLE.html</v>
      </c>
      <c r="I88" t="str">
        <f t="shared" si="5"/>
        <v>&lt;tr&gt; &lt;td&gt; &lt;a href=https://federallibrary.us/DOD/DODI/1300.26/CURRENT/TITLE.html&gt; DODI 1300.26&lt;/a&gt; &lt;/td&gt; &lt;td&gt; Operation of the DoD Financial Management Certification Program &lt;/td&gt; &lt;/tr&gt;</v>
      </c>
    </row>
    <row r="89" spans="1:9" x14ac:dyDescent="0.25">
      <c r="A89" t="s">
        <v>892</v>
      </c>
      <c r="B89" t="s">
        <v>852</v>
      </c>
      <c r="C89" t="str">
        <f t="shared" si="3"/>
        <v>1300.27</v>
      </c>
      <c r="D89" t="s">
        <v>1157</v>
      </c>
      <c r="E89" s="2">
        <v>42376</v>
      </c>
      <c r="G89" t="s">
        <v>90</v>
      </c>
      <c r="H89" t="str">
        <f t="shared" si="4"/>
        <v>https://federallibrary.us/DOD/DODI/1300.27/CURRENT/TITLE.html</v>
      </c>
      <c r="I89" t="str">
        <f t="shared" si="5"/>
        <v>&lt;tr&gt; &lt;td&gt; &lt;a href=https://federallibrary.us/DOD/DODI/1300.27/CURRENT/TITLE.html&gt; DODI 1300.27&lt;/a&gt; &lt;/td&gt; &lt;td&gt; Guidance on the Use of Service Dogs by Service Members &lt;/td&gt; &lt;/tr&gt;</v>
      </c>
    </row>
    <row r="90" spans="1:9" x14ac:dyDescent="0.25">
      <c r="A90" t="s">
        <v>892</v>
      </c>
      <c r="B90" t="s">
        <v>853</v>
      </c>
      <c r="C90" t="str">
        <f t="shared" si="3"/>
        <v>1300.28</v>
      </c>
      <c r="D90" t="s">
        <v>1157</v>
      </c>
      <c r="E90" s="2">
        <v>44915</v>
      </c>
      <c r="G90" t="s">
        <v>91</v>
      </c>
      <c r="H90" t="str">
        <f t="shared" si="4"/>
        <v>https://federallibrary.us/DOD/DODI/1300.28/CURRENT/TITLE.html</v>
      </c>
      <c r="I90" t="str">
        <f t="shared" si="5"/>
        <v>&lt;tr&gt; &lt;td&gt; &lt;a href=https://federallibrary.us/DOD/DODI/1300.28/CURRENT/TITLE.html&gt; DODI 1300.28&lt;/a&gt; &lt;/td&gt; &lt;td&gt; In-Service Transition for Transgender Service Members &lt;/td&gt; &lt;/tr&gt;</v>
      </c>
    </row>
    <row r="91" spans="1:9" x14ac:dyDescent="0.25">
      <c r="A91" t="s">
        <v>892</v>
      </c>
      <c r="B91" t="s">
        <v>895</v>
      </c>
      <c r="C91" t="str">
        <f t="shared" si="3"/>
        <v>1300.29</v>
      </c>
      <c r="D91" t="s">
        <v>1157</v>
      </c>
      <c r="E91" s="2">
        <v>44375</v>
      </c>
      <c r="G91" t="s">
        <v>92</v>
      </c>
      <c r="H91" t="str">
        <f t="shared" si="4"/>
        <v>https://federallibrary.us/DOD/DODI/1300.29/CURRENT/TITLE.html</v>
      </c>
      <c r="I91" t="str">
        <f t="shared" si="5"/>
        <v>&lt;tr&gt; &lt;td&gt; &lt;a href=https://federallibrary.us/DOD/DODI/1300.29/CURRENT/TITLE.html&gt; DODI 1300.29&lt;/a&gt; &lt;/td&gt; &lt;td&gt; Mortuary Affairs Program &lt;/td&gt; &lt;/tr&gt;</v>
      </c>
    </row>
    <row r="92" spans="1:9" x14ac:dyDescent="0.25">
      <c r="A92" t="s">
        <v>892</v>
      </c>
      <c r="B92" t="s">
        <v>855</v>
      </c>
      <c r="C92" t="str">
        <f t="shared" si="3"/>
        <v>1300.31</v>
      </c>
      <c r="D92" t="s">
        <v>1157</v>
      </c>
      <c r="E92" s="2">
        <v>44776</v>
      </c>
      <c r="G92" t="s">
        <v>93</v>
      </c>
      <c r="H92" t="str">
        <f t="shared" si="4"/>
        <v>https://federallibrary.us/DOD/DODI/1300.31/CURRENT/TITLE.html</v>
      </c>
      <c r="I92" t="str">
        <f t="shared" si="5"/>
        <v>&lt;tr&gt; &lt;td&gt; &lt;a href=https://federallibrary.us/DOD/DODI/1300.31/CURRENT/TITLE.html&gt; DODI 1300.31&lt;/a&gt; &lt;/td&gt; &lt;td&gt; DoD Cemeteries &lt;/td&gt; &lt;/tr&gt;</v>
      </c>
    </row>
    <row r="93" spans="1:9" x14ac:dyDescent="0.25">
      <c r="A93" t="s">
        <v>896</v>
      </c>
      <c r="B93" t="s">
        <v>870</v>
      </c>
      <c r="C93" t="str">
        <f t="shared" si="3"/>
        <v>1304.02</v>
      </c>
      <c r="D93" t="s">
        <v>1157</v>
      </c>
      <c r="E93" s="2">
        <v>40795</v>
      </c>
      <c r="G93" t="s">
        <v>94</v>
      </c>
      <c r="H93" t="str">
        <f t="shared" si="4"/>
        <v>https://federallibrary.us/DOD/DODI/1304.02/CURRENT/TITLE.html</v>
      </c>
      <c r="I93" t="str">
        <f t="shared" si="5"/>
        <v>&lt;tr&gt; &lt;td&gt; &lt;a href=https://federallibrary.us/DOD/DODI/1304.02/CURRENT/TITLE.html&gt; DODI 1304.02&lt;/a&gt; &lt;/td&gt; &lt;td&gt; Accession Processing Data Collection Forms &lt;/td&gt; &lt;/tr&gt;</v>
      </c>
    </row>
    <row r="94" spans="1:9" x14ac:dyDescent="0.25">
      <c r="A94" t="s">
        <v>896</v>
      </c>
      <c r="B94" t="s">
        <v>886</v>
      </c>
      <c r="C94" t="str">
        <f t="shared" si="3"/>
        <v>1304.12</v>
      </c>
      <c r="D94" t="s">
        <v>1157</v>
      </c>
      <c r="E94" s="2">
        <v>38615</v>
      </c>
      <c r="G94" t="s">
        <v>95</v>
      </c>
      <c r="H94" t="str">
        <f t="shared" si="4"/>
        <v>https://federallibrary.us/DOD/DODI/1304.12/CURRENT/TITLE.html</v>
      </c>
      <c r="I94" t="str">
        <f t="shared" si="5"/>
        <v>&lt;tr&gt; &lt;td&gt; &lt;a href=https://federallibrary.us/DOD/DODI/1304.12/CURRENT/TITLE.html&gt; DODI 1304.12&lt;/a&gt; &lt;/td&gt; &lt;td&gt; DoD Military Personnel Accession Testing Programs &lt;/td&gt; &lt;/tr&gt;</v>
      </c>
    </row>
    <row r="95" spans="1:9" x14ac:dyDescent="0.25">
      <c r="A95" t="s">
        <v>896</v>
      </c>
      <c r="B95" t="s">
        <v>877</v>
      </c>
      <c r="C95" t="str">
        <f t="shared" si="3"/>
        <v>1304.23</v>
      </c>
      <c r="D95" t="s">
        <v>1157</v>
      </c>
      <c r="E95" s="2">
        <v>38632</v>
      </c>
      <c r="G95" t="s">
        <v>96</v>
      </c>
      <c r="H95" t="str">
        <f t="shared" si="4"/>
        <v>https://federallibrary.us/DOD/DODI/1304.23/CURRENT/TITLE.html</v>
      </c>
      <c r="I95" t="str">
        <f t="shared" si="5"/>
        <v>&lt;tr&gt; &lt;td&gt; &lt;a href=https://federallibrary.us/DOD/DODI/1304.23/CURRENT/TITLE.html&gt; DODI 1304.23&lt;/a&gt; &lt;/td&gt; &lt;td&gt; Acquisition and Use of Criminal History Record Information for Military Recruiting Purposes &lt;/td&gt; &lt;/tr&gt;</v>
      </c>
    </row>
    <row r="96" spans="1:9" x14ac:dyDescent="0.25">
      <c r="A96" t="s">
        <v>896</v>
      </c>
      <c r="B96" t="s">
        <v>878</v>
      </c>
      <c r="C96" t="str">
        <f t="shared" si="3"/>
        <v>1304.24</v>
      </c>
      <c r="D96" t="s">
        <v>1157</v>
      </c>
      <c r="E96" s="2">
        <v>45055</v>
      </c>
      <c r="G96" t="s">
        <v>97</v>
      </c>
      <c r="H96" t="str">
        <f t="shared" si="4"/>
        <v>https://federallibrary.us/DOD/DODI/1304.24/CURRENT/TITLE.html</v>
      </c>
      <c r="I96" t="str">
        <f t="shared" si="5"/>
        <v>&lt;tr&gt; &lt;td&gt; &lt;a href=https://federallibrary.us/DOD/DODI/1304.24/CURRENT/TITLE.html&gt; DODI 1304.24&lt;/a&gt; &lt;/td&gt; &lt;td&gt; Use of Directory Information on Secondary School Students for Military Recruiting Purposes &lt;/td&gt; &lt;/tr&gt;</v>
      </c>
    </row>
    <row r="97" spans="1:9" x14ac:dyDescent="0.25">
      <c r="A97" t="s">
        <v>896</v>
      </c>
      <c r="B97" t="s">
        <v>851</v>
      </c>
      <c r="C97" t="str">
        <f t="shared" si="3"/>
        <v>1304.25</v>
      </c>
      <c r="D97" t="s">
        <v>1157</v>
      </c>
      <c r="E97" s="2">
        <v>44482</v>
      </c>
      <c r="G97" t="s">
        <v>98</v>
      </c>
      <c r="H97" t="str">
        <f t="shared" si="4"/>
        <v>https://federallibrary.us/DOD/DODI/1304.25/CURRENT/TITLE.html</v>
      </c>
      <c r="I97" t="str">
        <f t="shared" si="5"/>
        <v>&lt;tr&gt; &lt;td&gt; &lt;a href=https://federallibrary.us/DOD/DODI/1304.25/CURRENT/TITLE.html&gt; DODI 1304.25&lt;/a&gt; &lt;/td&gt; &lt;td&gt; Fulfilling the Military Service Obligation &lt;/td&gt; &lt;/tr&gt;</v>
      </c>
    </row>
    <row r="98" spans="1:9" x14ac:dyDescent="0.25">
      <c r="A98" t="s">
        <v>896</v>
      </c>
      <c r="B98" t="s">
        <v>894</v>
      </c>
      <c r="C98" t="str">
        <f t="shared" si="3"/>
        <v>1304.26</v>
      </c>
      <c r="D98" t="s">
        <v>1157</v>
      </c>
      <c r="E98" s="2">
        <v>43399</v>
      </c>
      <c r="G98" t="s">
        <v>99</v>
      </c>
      <c r="H98" t="str">
        <f t="shared" si="4"/>
        <v>https://federallibrary.us/DOD/DODI/1304.26/CURRENT/TITLE.html</v>
      </c>
      <c r="I98" t="str">
        <f t="shared" si="5"/>
        <v>&lt;tr&gt; &lt;td&gt; &lt;a href=https://federallibrary.us/DOD/DODI/1304.26/CURRENT/TITLE.html&gt; DODI 1304.26&lt;/a&gt; &lt;/td&gt; &lt;td&gt; Qualification Standards for Enlistment, Appointment, and Induction &lt;/td&gt; &lt;/tr&gt;</v>
      </c>
    </row>
    <row r="99" spans="1:9" x14ac:dyDescent="0.25">
      <c r="A99" t="s">
        <v>896</v>
      </c>
      <c r="B99" t="s">
        <v>853</v>
      </c>
      <c r="C99" t="str">
        <f t="shared" si="3"/>
        <v>1304.28</v>
      </c>
      <c r="D99" t="s">
        <v>1157</v>
      </c>
      <c r="E99" s="2">
        <v>45420</v>
      </c>
      <c r="G99" t="s">
        <v>100</v>
      </c>
      <c r="H99" t="str">
        <f t="shared" si="4"/>
        <v>https://federallibrary.us/DOD/DODI/1304.28/CURRENT/TITLE.html</v>
      </c>
      <c r="I99" t="str">
        <f t="shared" si="5"/>
        <v>&lt;tr&gt; &lt;td&gt; &lt;a href=https://federallibrary.us/DOD/DODI/1304.28/CURRENT/TITLE.html&gt; DODI 1304.28&lt;/a&gt; &lt;/td&gt; &lt;td&gt; The Appointment and Service of Chaplains &lt;/td&gt; &lt;/tr&gt;</v>
      </c>
    </row>
    <row r="100" spans="1:9" x14ac:dyDescent="0.25">
      <c r="A100" t="s">
        <v>896</v>
      </c>
      <c r="B100" t="s">
        <v>895</v>
      </c>
      <c r="C100" t="str">
        <f t="shared" si="3"/>
        <v>1304.29</v>
      </c>
      <c r="D100" t="s">
        <v>1157</v>
      </c>
      <c r="E100" s="2">
        <v>42562</v>
      </c>
      <c r="G100" t="s">
        <v>101</v>
      </c>
      <c r="H100" t="str">
        <f t="shared" si="4"/>
        <v>https://federallibrary.us/DOD/DODI/1304.29/CURRENT/TITLE.html</v>
      </c>
      <c r="I100" t="str">
        <f t="shared" si="5"/>
        <v>&lt;tr&gt; &lt;td&gt; &lt;a href=https://federallibrary.us/DOD/DODI/1304.29/CURRENT/TITLE.html&gt; DODI 1304.29&lt;/a&gt; &lt;/td&gt; &lt;td&gt; Administration of Enlistment Bonuses, Accession Bonuses for New Officers in Critical Skills, Selective Reenlistment Bonuses, and Critical Skills Retention Bonuses for Active Members &lt;/td&gt; &lt;/tr&gt;</v>
      </c>
    </row>
    <row r="101" spans="1:9" x14ac:dyDescent="0.25">
      <c r="A101" t="s">
        <v>896</v>
      </c>
      <c r="B101" t="s">
        <v>855</v>
      </c>
      <c r="C101" t="str">
        <f t="shared" si="3"/>
        <v>1304.31</v>
      </c>
      <c r="D101" t="s">
        <v>1157</v>
      </c>
      <c r="E101" s="2">
        <v>44140</v>
      </c>
      <c r="G101" t="s">
        <v>102</v>
      </c>
      <c r="H101" t="str">
        <f t="shared" si="4"/>
        <v>https://federallibrary.us/DOD/DODI/1304.31/CURRENT/TITLE.html</v>
      </c>
      <c r="I101" t="str">
        <f t="shared" si="5"/>
        <v>&lt;tr&gt; &lt;td&gt; &lt;a href=https://federallibrary.us/DOD/DODI/1304.31/CURRENT/TITLE.html&gt; DODI 1304.31&lt;/a&gt; &lt;/td&gt; &lt;td&gt; Enlisted Bonus Program &lt;/td&gt; &lt;/tr&gt;</v>
      </c>
    </row>
    <row r="102" spans="1:9" x14ac:dyDescent="0.25">
      <c r="A102" t="s">
        <v>896</v>
      </c>
      <c r="B102" t="s">
        <v>856</v>
      </c>
      <c r="C102" t="str">
        <f t="shared" si="3"/>
        <v>1304.32</v>
      </c>
      <c r="D102" t="s">
        <v>1157</v>
      </c>
      <c r="E102" s="2">
        <v>42825</v>
      </c>
      <c r="G102" t="s">
        <v>103</v>
      </c>
      <c r="H102" t="str">
        <f t="shared" si="4"/>
        <v>https://federallibrary.us/DOD/DODI/1304.32/CURRENT/TITLE.html</v>
      </c>
      <c r="I102" t="str">
        <f t="shared" si="5"/>
        <v>&lt;tr&gt; &lt;td&gt; &lt;a href=https://federallibrary.us/DOD/DODI/1304.32/CURRENT/TITLE.html&gt; DODI 1304.32&lt;/a&gt; &lt;/td&gt; &lt;td&gt; Military Services Recruiting Related Reports &lt;/td&gt; &lt;/tr&gt;</v>
      </c>
    </row>
    <row r="103" spans="1:9" x14ac:dyDescent="0.25">
      <c r="A103" t="s">
        <v>896</v>
      </c>
      <c r="B103" t="s">
        <v>897</v>
      </c>
      <c r="C103" t="str">
        <f t="shared" si="3"/>
        <v>1304.33</v>
      </c>
      <c r="D103" t="s">
        <v>1157</v>
      </c>
      <c r="E103" s="2">
        <v>42830</v>
      </c>
      <c r="G103" t="s">
        <v>104</v>
      </c>
      <c r="H103" t="str">
        <f t="shared" si="4"/>
        <v>https://federallibrary.us/DOD/DODI/1304.33/CURRENT/TITLE.html</v>
      </c>
      <c r="I103" t="str">
        <f t="shared" si="5"/>
        <v>&lt;tr&gt; &lt;td&gt; &lt;a href=https://federallibrary.us/DOD/DODI/1304.33/CURRENT/TITLE.html&gt; DODI 1304.33&lt;/a&gt; &lt;/td&gt; &lt;td&gt; Protecting Against Inappropriate Relations During Recruiting and Entry Level Training &lt;/td&gt; &lt;/tr&gt;</v>
      </c>
    </row>
    <row r="104" spans="1:9" x14ac:dyDescent="0.25">
      <c r="A104" t="s">
        <v>896</v>
      </c>
      <c r="B104" t="s">
        <v>898</v>
      </c>
      <c r="C104" t="str">
        <f t="shared" si="3"/>
        <v>1304.34</v>
      </c>
      <c r="D104" t="s">
        <v>1157</v>
      </c>
      <c r="E104" s="2">
        <v>42562</v>
      </c>
      <c r="G104" t="s">
        <v>105</v>
      </c>
      <c r="H104" t="str">
        <f t="shared" si="4"/>
        <v>https://federallibrary.us/DOD/DODI/1304.34/CURRENT/TITLE.html</v>
      </c>
      <c r="I104" t="str">
        <f t="shared" si="5"/>
        <v>&lt;tr&gt; &lt;td&gt; &lt;a href=https://federallibrary.us/DOD/DODI/1304.34/CURRENT/TITLE.html&gt; DODI 1304.34&lt;/a&gt; &lt;/td&gt; &lt;td&gt; General Bonus Authority for Officers &lt;/td&gt; &lt;/tr&gt;</v>
      </c>
    </row>
    <row r="105" spans="1:9" x14ac:dyDescent="0.25">
      <c r="A105" t="s">
        <v>896</v>
      </c>
      <c r="B105" t="s">
        <v>899</v>
      </c>
      <c r="C105" t="str">
        <f t="shared" si="3"/>
        <v>1304.35</v>
      </c>
      <c r="D105" t="s">
        <v>1157</v>
      </c>
      <c r="E105" s="2">
        <v>44007</v>
      </c>
      <c r="G105" t="s">
        <v>106</v>
      </c>
      <c r="H105" t="str">
        <f t="shared" si="4"/>
        <v>https://federallibrary.us/DOD/DODI/1304.35/CURRENT/TITLE.html</v>
      </c>
      <c r="I105" t="str">
        <f t="shared" si="5"/>
        <v>&lt;tr&gt; &lt;td&gt; &lt;a href=https://federallibrary.us/DOD/DODI/1304.35/CURRENT/TITLE.html&gt; DODI 1304.35&lt;/a&gt; &lt;/td&gt; &lt;td&gt; Military Marketing &lt;/td&gt; &lt;/tr&gt;</v>
      </c>
    </row>
    <row r="106" spans="1:9" x14ac:dyDescent="0.25">
      <c r="A106" t="s">
        <v>896</v>
      </c>
      <c r="B106" t="s">
        <v>900</v>
      </c>
      <c r="C106" t="str">
        <f t="shared" si="3"/>
        <v>1304.36</v>
      </c>
      <c r="D106" t="s">
        <v>1157</v>
      </c>
      <c r="E106" s="2">
        <v>43355</v>
      </c>
      <c r="G106" t="s">
        <v>107</v>
      </c>
      <c r="H106" t="str">
        <f t="shared" si="4"/>
        <v>https://federallibrary.us/DOD/DODI/1304.36/CURRENT/TITLE.html</v>
      </c>
      <c r="I106" t="str">
        <f t="shared" si="5"/>
        <v>&lt;tr&gt; &lt;td&gt; &lt;a href=https://federallibrary.us/DOD/DODI/1304.36/CURRENT/TITLE.html&gt; DODI 1304.36&lt;/a&gt; &lt;/td&gt; &lt;td&gt; Education Loan Repayment Program &lt;/td&gt; &lt;/tr&gt;</v>
      </c>
    </row>
    <row r="107" spans="1:9" x14ac:dyDescent="0.25">
      <c r="A107" t="s">
        <v>901</v>
      </c>
      <c r="B107" t="s">
        <v>867</v>
      </c>
      <c r="C107" t="str">
        <f t="shared" si="3"/>
        <v>1308.03</v>
      </c>
      <c r="D107" t="s">
        <v>1157</v>
      </c>
      <c r="E107" s="2">
        <v>44630</v>
      </c>
      <c r="G107" t="s">
        <v>108</v>
      </c>
      <c r="H107" t="str">
        <f t="shared" si="4"/>
        <v>https://federallibrary.us/DOD/DODI/1308.03/CURRENT/TITLE.html</v>
      </c>
      <c r="I107" t="str">
        <f t="shared" si="5"/>
        <v>&lt;tr&gt; &lt;td&gt; &lt;a href=https://federallibrary.us/DOD/DODI/1308.03/CURRENT/TITLE.html&gt; DODI 1308.03&lt;/a&gt; &lt;/td&gt; &lt;td&gt; DoD Physical Fitness/Body Composition Program &lt;/td&gt; &lt;/tr&gt;</v>
      </c>
    </row>
    <row r="108" spans="1:9" x14ac:dyDescent="0.25">
      <c r="A108" t="s">
        <v>902</v>
      </c>
      <c r="B108" t="s">
        <v>845</v>
      </c>
      <c r="C108" t="str">
        <f t="shared" si="3"/>
        <v>1310.01</v>
      </c>
      <c r="D108" t="s">
        <v>1157</v>
      </c>
      <c r="E108" s="2">
        <v>43950</v>
      </c>
      <c r="G108" t="s">
        <v>109</v>
      </c>
      <c r="H108" t="str">
        <f t="shared" si="4"/>
        <v>https://federallibrary.us/DOD/DODI/1310.01/CURRENT/TITLE.html</v>
      </c>
      <c r="I108" t="str">
        <f t="shared" si="5"/>
        <v>&lt;tr&gt; &lt;td&gt; &lt;a href=https://federallibrary.us/DOD/DODI/1310.01/CURRENT/TITLE.html&gt; DODI 1310.01&lt;/a&gt; &lt;/td&gt; &lt;td&gt; Rank and Seniority of Commissioned Officers &lt;/td&gt; &lt;/tr&gt;</v>
      </c>
    </row>
    <row r="109" spans="1:9" x14ac:dyDescent="0.25">
      <c r="A109" t="s">
        <v>902</v>
      </c>
      <c r="B109" t="s">
        <v>870</v>
      </c>
      <c r="C109" t="str">
        <f t="shared" si="3"/>
        <v>1310.02</v>
      </c>
      <c r="D109" t="s">
        <v>1157</v>
      </c>
      <c r="E109" s="2">
        <v>42089</v>
      </c>
      <c r="G109" t="s">
        <v>110</v>
      </c>
      <c r="H109" t="str">
        <f t="shared" si="4"/>
        <v>https://federallibrary.us/DOD/DODI/1310.02/CURRENT/TITLE.html</v>
      </c>
      <c r="I109" t="str">
        <f t="shared" si="5"/>
        <v>&lt;tr&gt; &lt;td&gt; &lt;a href=https://federallibrary.us/DOD/DODI/1310.02/CURRENT/TITLE.html&gt; DODI 1310.02&lt;/a&gt; &lt;/td&gt; &lt;td&gt; Original Appointment of Officers &lt;/td&gt; &lt;/tr&gt;</v>
      </c>
    </row>
    <row r="110" spans="1:9" x14ac:dyDescent="0.25">
      <c r="A110" t="s">
        <v>903</v>
      </c>
      <c r="B110" t="s">
        <v>845</v>
      </c>
      <c r="C110" t="str">
        <f t="shared" si="3"/>
        <v>1312.01</v>
      </c>
      <c r="D110" t="s">
        <v>1157</v>
      </c>
      <c r="E110" s="2">
        <v>43943</v>
      </c>
      <c r="G110" t="s">
        <v>111</v>
      </c>
      <c r="H110" t="str">
        <f t="shared" si="4"/>
        <v>https://federallibrary.us/DOD/DODI/1312.01/CURRENT/TITLE.html</v>
      </c>
      <c r="I110" t="str">
        <f t="shared" si="5"/>
        <v>&lt;tr&gt; &lt;td&gt; &lt;a href=https://federallibrary.us/DOD/DODI/1312.01/CURRENT/TITLE.html&gt; DODI 1312.01&lt;/a&gt; &lt;/td&gt; &lt;td&gt; Department of Defense Occupational Information Collection and Reporting &lt;/td&gt; &lt;/tr&gt;</v>
      </c>
    </row>
    <row r="111" spans="1:9" x14ac:dyDescent="0.25">
      <c r="A111" t="s">
        <v>903</v>
      </c>
      <c r="B111" t="s">
        <v>867</v>
      </c>
      <c r="C111" t="str">
        <f t="shared" si="3"/>
        <v>1312.03</v>
      </c>
      <c r="D111" t="s">
        <v>1157</v>
      </c>
      <c r="E111" s="2">
        <v>43462</v>
      </c>
      <c r="G111" t="s">
        <v>112</v>
      </c>
      <c r="H111" t="str">
        <f t="shared" si="4"/>
        <v>https://federallibrary.us/DOD/DODI/1312.03/CURRENT/TITLE.html</v>
      </c>
      <c r="I111" t="str">
        <f t="shared" si="5"/>
        <v>&lt;tr&gt; &lt;td&gt; &lt;a href=https://federallibrary.us/DOD/DODI/1312.03/CURRENT/TITLE.html&gt; DODI 1312.03&lt;/a&gt; &lt;/td&gt; &lt;td&gt; Entry Grade Credit for Commissioned Officers and Warrant Officers &lt;/td&gt; &lt;/tr&gt;</v>
      </c>
    </row>
    <row r="112" spans="1:9" x14ac:dyDescent="0.25">
      <c r="A112" t="s">
        <v>904</v>
      </c>
      <c r="B112" t="s">
        <v>862</v>
      </c>
      <c r="C112" t="str">
        <f t="shared" si="3"/>
        <v>1315.09</v>
      </c>
      <c r="D112" t="s">
        <v>1157</v>
      </c>
      <c r="E112" s="2">
        <v>45247</v>
      </c>
      <c r="G112" t="s">
        <v>113</v>
      </c>
      <c r="H112" t="str">
        <f t="shared" si="4"/>
        <v>https://federallibrary.us/DOD/DODI/1315.09/CURRENT/TITLE.html</v>
      </c>
      <c r="I112" t="str">
        <f t="shared" si="5"/>
        <v>&lt;tr&gt; &lt;td&gt; &lt;a href=https://federallibrary.us/DOD/DODI/1315.09/CURRENT/TITLE.html&gt; DODI 1315.09&lt;/a&gt; &lt;/td&gt; &lt;td&gt;  Utilization Of Enlisted Aides On Personal Staffs Of General Officers/Flag Officers &lt;/td&gt; &lt;/tr&gt;</v>
      </c>
    </row>
    <row r="113" spans="1:9" x14ac:dyDescent="0.25">
      <c r="A113" t="s">
        <v>904</v>
      </c>
      <c r="B113" t="s">
        <v>849</v>
      </c>
      <c r="C113" t="str">
        <f t="shared" si="3"/>
        <v>1315.15</v>
      </c>
      <c r="D113" t="s">
        <v>1157</v>
      </c>
      <c r="E113" s="2">
        <v>42874</v>
      </c>
      <c r="G113" t="s">
        <v>114</v>
      </c>
      <c r="H113" t="str">
        <f t="shared" si="4"/>
        <v>https://federallibrary.us/DOD/DODI/1315.15/CURRENT/TITLE.html</v>
      </c>
      <c r="I113" t="str">
        <f t="shared" si="5"/>
        <v>&lt;tr&gt; &lt;td&gt; &lt;a href=https://federallibrary.us/DOD/DODI/1315.15/CURRENT/TITLE.html&gt; DODI 1315.15&lt;/a&gt; &lt;/td&gt; &lt;td&gt; Separation Policies for Survivorship &lt;/td&gt; &lt;/tr&gt;</v>
      </c>
    </row>
    <row r="114" spans="1:9" x14ac:dyDescent="0.25">
      <c r="A114" t="s">
        <v>904</v>
      </c>
      <c r="B114" t="s">
        <v>884</v>
      </c>
      <c r="C114" t="str">
        <f t="shared" si="3"/>
        <v>1315.18</v>
      </c>
      <c r="D114" t="s">
        <v>1157</v>
      </c>
      <c r="E114" s="2">
        <v>43640</v>
      </c>
      <c r="G114" t="s">
        <v>115</v>
      </c>
      <c r="H114" t="str">
        <f t="shared" si="4"/>
        <v>https://federallibrary.us/DOD/DODI/1315.18/CURRENT/TITLE.html</v>
      </c>
      <c r="I114" t="str">
        <f t="shared" si="5"/>
        <v>&lt;tr&gt; &lt;td&gt; &lt;a href=https://federallibrary.us/DOD/DODI/1315.18/CURRENT/TITLE.html&gt; DODI 1315.18&lt;/a&gt; &lt;/td&gt; &lt;td&gt; Procedures for Military Personnel Assignments &lt;/td&gt; &lt;/tr&gt;</v>
      </c>
    </row>
    <row r="115" spans="1:9" x14ac:dyDescent="0.25">
      <c r="A115" t="s">
        <v>904</v>
      </c>
      <c r="B115" t="s">
        <v>893</v>
      </c>
      <c r="C115" t="str">
        <f t="shared" si="3"/>
        <v>1315.19</v>
      </c>
      <c r="D115" t="s">
        <v>1157</v>
      </c>
      <c r="E115" s="2">
        <v>45100</v>
      </c>
      <c r="G115" t="s">
        <v>116</v>
      </c>
      <c r="H115" t="str">
        <f t="shared" si="4"/>
        <v>https://federallibrary.us/DOD/DODI/1315.19/CURRENT/TITLE.html</v>
      </c>
      <c r="I115" t="str">
        <f t="shared" si="5"/>
        <v>&lt;tr&gt; &lt;td&gt; &lt;a href=https://federallibrary.us/DOD/DODI/1315.19/CURRENT/TITLE.html&gt; DODI 1315.19&lt;/a&gt; &lt;/td&gt; &lt;td&gt; Exceptional Family Member Program &lt;/td&gt; &lt;/tr&gt;</v>
      </c>
    </row>
    <row r="116" spans="1:9" x14ac:dyDescent="0.25">
      <c r="A116" t="s">
        <v>904</v>
      </c>
      <c r="B116" t="s">
        <v>905</v>
      </c>
      <c r="C116" t="str">
        <f t="shared" si="3"/>
        <v>1315.20</v>
      </c>
      <c r="D116" t="s">
        <v>1157</v>
      </c>
      <c r="E116" s="2">
        <v>44645</v>
      </c>
      <c r="G116" t="s">
        <v>117</v>
      </c>
      <c r="H116" t="str">
        <f t="shared" si="4"/>
        <v>https://federallibrary.us/DOD/DODI/1315.20/CURRENT/TITLE.html</v>
      </c>
      <c r="I116" t="str">
        <f t="shared" si="5"/>
        <v>&lt;tr&gt; &lt;td&gt; &lt;a href=https://federallibrary.us/DOD/DODI/1315.20/CURRENT/TITLE.html&gt; DODI 1315.20&lt;/a&gt; &lt;/td&gt; &lt;td&gt; Management of the DoD Foreign Area Office Program &lt;/td&gt; &lt;/tr&gt;</v>
      </c>
    </row>
    <row r="117" spans="1:9" x14ac:dyDescent="0.25">
      <c r="A117" t="s">
        <v>906</v>
      </c>
      <c r="B117" t="s">
        <v>846</v>
      </c>
      <c r="C117" t="str">
        <f t="shared" si="3"/>
        <v>1320.04</v>
      </c>
      <c r="D117" t="s">
        <v>1157</v>
      </c>
      <c r="E117" s="2">
        <v>44012</v>
      </c>
      <c r="G117" t="s">
        <v>118</v>
      </c>
      <c r="H117" t="str">
        <f t="shared" si="4"/>
        <v>https://federallibrary.us/DOD/DODI/1320.04/CURRENT/TITLE.html</v>
      </c>
      <c r="I117" t="str">
        <f t="shared" si="5"/>
        <v>&lt;tr&gt; &lt;td&gt; &lt;a href=https://federallibrary.us/DOD/DODI/1320.04/CURRENT/TITLE.html&gt; DODI 1320.04&lt;/a&gt; &lt;/td&gt; &lt;td&gt; Military Officer Actions Requiring Presidential, Secretary of Defense, or Under Secretary of Defense for Personnel and Readiness Approval or Senate Confirmation &lt;/td&gt; &lt;/tr&gt;</v>
      </c>
    </row>
    <row r="118" spans="1:9" x14ac:dyDescent="0.25">
      <c r="A118" t="s">
        <v>906</v>
      </c>
      <c r="B118" t="s">
        <v>865</v>
      </c>
      <c r="C118" t="str">
        <f t="shared" si="3"/>
        <v>1320.08</v>
      </c>
      <c r="D118" t="s">
        <v>1157</v>
      </c>
      <c r="E118" s="2">
        <v>44071</v>
      </c>
      <c r="G118" t="s">
        <v>119</v>
      </c>
      <c r="H118" t="str">
        <f t="shared" si="4"/>
        <v>https://federallibrary.us/DOD/DODI/1320.08/CURRENT/TITLE.html</v>
      </c>
      <c r="I118" t="str">
        <f t="shared" si="5"/>
        <v>&lt;tr&gt; &lt;td&gt; &lt;a href=https://federallibrary.us/DOD/DODI/1320.08/CURRENT/TITLE.html&gt; DODI 1320.08&lt;/a&gt; &lt;/td&gt; &lt;td&gt; Continuation of Commissioned Officers on Active Duty and on the Reserve Active-Status List &lt;/td&gt; &lt;/tr&gt;</v>
      </c>
    </row>
    <row r="119" spans="1:9" x14ac:dyDescent="0.25">
      <c r="A119" t="s">
        <v>906</v>
      </c>
      <c r="B119" t="s">
        <v>863</v>
      </c>
      <c r="C119" t="str">
        <f t="shared" si="3"/>
        <v>1320.10</v>
      </c>
      <c r="D119" t="s">
        <v>1157</v>
      </c>
      <c r="E119" s="2">
        <v>43963</v>
      </c>
      <c r="G119" t="s">
        <v>120</v>
      </c>
      <c r="H119" t="str">
        <f t="shared" si="4"/>
        <v>https://federallibrary.us/DOD/DODI/1320.10/CURRENT/TITLE.html</v>
      </c>
      <c r="I119" t="str">
        <f t="shared" si="5"/>
        <v>&lt;tr&gt; &lt;td&gt; &lt;a href=https://federallibrary.us/DOD/DODI/1320.10/CURRENT/TITLE.html&gt; DODI 1320.10&lt;/a&gt; &lt;/td&gt; &lt;td&gt; Discharge of Commissioned Officers Not Qualified for Promotion to the Grade of First Lieutenant Or Lieutenant (Junior Grade) &lt;/td&gt; &lt;/tr&gt;</v>
      </c>
    </row>
    <row r="120" spans="1:9" x14ac:dyDescent="0.25">
      <c r="A120" t="s">
        <v>906</v>
      </c>
      <c r="B120" t="s">
        <v>848</v>
      </c>
      <c r="C120" t="str">
        <f t="shared" si="3"/>
        <v>1320.13</v>
      </c>
      <c r="D120" t="s">
        <v>1157</v>
      </c>
      <c r="E120" s="2">
        <v>44295</v>
      </c>
      <c r="G120" t="s">
        <v>121</v>
      </c>
      <c r="H120" t="str">
        <f t="shared" si="4"/>
        <v>https://federallibrary.us/DOD/DODI/1320.13/CURRENT/TITLE.html</v>
      </c>
      <c r="I120" t="str">
        <f t="shared" si="5"/>
        <v>&lt;tr&gt; &lt;td&gt; &lt;a href=https://federallibrary.us/DOD/DODI/1320.13/CURRENT/TITLE.html&gt; DODI 1320.13&lt;/a&gt; &lt;/td&gt; &lt;td&gt; Commissioned Officer Promotion Reports &lt;/td&gt; &lt;/tr&gt;</v>
      </c>
    </row>
    <row r="121" spans="1:9" x14ac:dyDescent="0.25">
      <c r="A121" t="s">
        <v>906</v>
      </c>
      <c r="B121" t="s">
        <v>859</v>
      </c>
      <c r="C121" t="str">
        <f t="shared" si="3"/>
        <v>1320.14</v>
      </c>
      <c r="D121" t="s">
        <v>1157</v>
      </c>
      <c r="E121" s="2">
        <v>44181</v>
      </c>
      <c r="G121" t="s">
        <v>122</v>
      </c>
      <c r="H121" t="str">
        <f t="shared" si="4"/>
        <v>https://federallibrary.us/DOD/DODI/1320.14/CURRENT/TITLE.html</v>
      </c>
      <c r="I121" t="str">
        <f t="shared" si="5"/>
        <v>&lt;tr&gt; &lt;td&gt; &lt;a href=https://federallibrary.us/DOD/DODI/1320.14/CURRENT/TITLE.html&gt; DODI 1320.14&lt;/a&gt; &lt;/td&gt; &lt;td&gt; DoD Commissioned Officer Promotion Program Procedures &lt;/td&gt; &lt;/tr&gt;</v>
      </c>
    </row>
    <row r="122" spans="1:9" x14ac:dyDescent="0.25">
      <c r="A122" t="s">
        <v>907</v>
      </c>
      <c r="B122" t="s">
        <v>858</v>
      </c>
      <c r="C122" t="str">
        <f t="shared" si="3"/>
        <v>1322.06</v>
      </c>
      <c r="D122" t="s">
        <v>1157</v>
      </c>
      <c r="E122" s="2">
        <v>42655</v>
      </c>
      <c r="G122" t="s">
        <v>123</v>
      </c>
      <c r="H122" t="str">
        <f t="shared" si="4"/>
        <v>https://federallibrary.us/DOD/DODI/1322.06/CURRENT/TITLE.html</v>
      </c>
      <c r="I122" t="str">
        <f t="shared" si="5"/>
        <v>&lt;tr&gt; &lt;td&gt; &lt;a href=https://federallibrary.us/DOD/DODI/1322.06/CURRENT/TITLE.html&gt; DODI 1322.06&lt;/a&gt; &lt;/td&gt; &lt;td&gt; Fellowships, Legislative Fellowships, Internships, Scholarships, Training-With-Industry (TWI), and Grants Provided to DoD or DoD Personnel for Education and Training &lt;/td&gt; &lt;/tr&gt;</v>
      </c>
    </row>
    <row r="123" spans="1:9" x14ac:dyDescent="0.25">
      <c r="A123" t="s">
        <v>907</v>
      </c>
      <c r="B123" t="s">
        <v>863</v>
      </c>
      <c r="C123" t="str">
        <f t="shared" si="3"/>
        <v>1322.10</v>
      </c>
      <c r="D123" t="s">
        <v>1157</v>
      </c>
      <c r="E123" s="2">
        <v>39567</v>
      </c>
      <c r="G123" t="s">
        <v>124</v>
      </c>
      <c r="H123" t="str">
        <f t="shared" si="4"/>
        <v>https://federallibrary.us/DOD/DODI/1322.10/CURRENT/TITLE.html</v>
      </c>
      <c r="I123" t="str">
        <f t="shared" si="5"/>
        <v>&lt;tr&gt; &lt;td&gt; &lt;a href=https://federallibrary.us/DOD/DODI/1322.10/CURRENT/TITLE.html&gt; DODI 1322.10&lt;/a&gt; &lt;/td&gt; &lt;td&gt; Policy on Graduate Education for Military Officers &lt;/td&gt; &lt;/tr&gt;</v>
      </c>
    </row>
    <row r="124" spans="1:9" x14ac:dyDescent="0.25">
      <c r="A124" t="s">
        <v>907</v>
      </c>
      <c r="B124" t="s">
        <v>886</v>
      </c>
      <c r="C124" t="str">
        <f t="shared" si="3"/>
        <v>1322.12</v>
      </c>
      <c r="D124" t="s">
        <v>1157</v>
      </c>
      <c r="E124" s="2">
        <v>45265</v>
      </c>
      <c r="G124" t="s">
        <v>125</v>
      </c>
      <c r="H124" t="str">
        <f t="shared" si="4"/>
        <v>https://federallibrary.us/DOD/DODI/1322.12/CURRENT/TITLE.html</v>
      </c>
      <c r="I124" t="str">
        <f t="shared" si="5"/>
        <v>&lt;tr&gt; &lt;td&gt; &lt;a href=https://federallibrary.us/DOD/DODI/1322.12/CURRENT/TITLE.html&gt; DODI 1322.12&lt;/a&gt; &lt;/td&gt; &lt;td&gt; Funded Legal Education &lt;/td&gt; &lt;/tr&gt;</v>
      </c>
    </row>
    <row r="125" spans="1:9" x14ac:dyDescent="0.25">
      <c r="A125" t="s">
        <v>907</v>
      </c>
      <c r="B125" t="s">
        <v>860</v>
      </c>
      <c r="C125" t="str">
        <f t="shared" si="3"/>
        <v>1322.16</v>
      </c>
      <c r="D125" t="s">
        <v>1157</v>
      </c>
      <c r="E125" s="2">
        <v>44923</v>
      </c>
      <c r="G125" t="s">
        <v>126</v>
      </c>
      <c r="H125" t="str">
        <f t="shared" si="4"/>
        <v>https://federallibrary.us/DOD/DODI/1322.16/CURRENT/TITLE.html</v>
      </c>
      <c r="I125" t="str">
        <f t="shared" si="5"/>
        <v>&lt;tr&gt; &lt;td&gt; &lt;a href=https://federallibrary.us/DOD/DODI/1322.16/CURRENT/TITLE.html&gt; DODI 1322.16&lt;/a&gt; &lt;/td&gt; &lt;td&gt; Montgomery GI Bill Program &lt;/td&gt; &lt;/tr&gt;</v>
      </c>
    </row>
    <row r="126" spans="1:9" x14ac:dyDescent="0.25">
      <c r="A126" t="s">
        <v>907</v>
      </c>
      <c r="B126" t="s">
        <v>850</v>
      </c>
      <c r="C126" t="str">
        <f t="shared" si="3"/>
        <v>1322.17</v>
      </c>
      <c r="D126" t="s">
        <v>1157</v>
      </c>
      <c r="E126" s="2">
        <v>42019</v>
      </c>
      <c r="G126" t="s">
        <v>127</v>
      </c>
      <c r="H126" t="str">
        <f t="shared" si="4"/>
        <v>https://federallibrary.us/DOD/DODI/1322.17/CURRENT/TITLE.html</v>
      </c>
      <c r="I126" t="str">
        <f t="shared" si="5"/>
        <v>&lt;tr&gt; &lt;td&gt; &lt;a href=https://federallibrary.us/DOD/DODI/1322.17/CURRENT/TITLE.html&gt; DODI 1322.17&lt;/a&gt; &lt;/td&gt; &lt;td&gt; Montgomery GI Bill-Selected Reserve (MGIB-SR) &lt;/td&gt; &lt;/tr&gt;</v>
      </c>
    </row>
    <row r="127" spans="1:9" x14ac:dyDescent="0.25">
      <c r="A127" t="s">
        <v>907</v>
      </c>
      <c r="B127" t="s">
        <v>893</v>
      </c>
      <c r="C127" t="str">
        <f t="shared" si="3"/>
        <v>1322.19</v>
      </c>
      <c r="D127" t="s">
        <v>1157</v>
      </c>
      <c r="E127" s="2">
        <v>43944</v>
      </c>
      <c r="G127" t="s">
        <v>128</v>
      </c>
      <c r="H127" t="str">
        <f t="shared" si="4"/>
        <v>https://federallibrary.us/DOD/DODI/1322.19/CURRENT/TITLE.html</v>
      </c>
      <c r="I127" t="str">
        <f t="shared" si="5"/>
        <v>&lt;tr&gt; &lt;td&gt; &lt;a href=https://federallibrary.us/DOD/DODI/1322.19/CURRENT/TITLE.html&gt; DODI 1322.19&lt;/a&gt; &lt;/td&gt; &lt;td&gt; Voluntary Education Programs in Overseas Areas &lt;/td&gt; &lt;/tr&gt;</v>
      </c>
    </row>
    <row r="128" spans="1:9" x14ac:dyDescent="0.25">
      <c r="A128" t="s">
        <v>907</v>
      </c>
      <c r="B128" t="s">
        <v>876</v>
      </c>
      <c r="C128" t="str">
        <f t="shared" si="3"/>
        <v>1322.22</v>
      </c>
      <c r="D128" t="s">
        <v>1157</v>
      </c>
      <c r="E128" s="2">
        <v>45231</v>
      </c>
      <c r="G128" t="s">
        <v>129</v>
      </c>
      <c r="H128" t="str">
        <f t="shared" si="4"/>
        <v>https://federallibrary.us/DOD/DODI/1322.22/CURRENT/TITLE.html</v>
      </c>
      <c r="I128" t="str">
        <f t="shared" si="5"/>
        <v>&lt;tr&gt; &lt;td&gt; &lt;a href=https://federallibrary.us/DOD/DODI/1322.22/CURRENT/TITLE.html&gt; DODI 1322.22&lt;/a&gt; &lt;/td&gt; &lt;td&gt; Military Service Academies &lt;/td&gt; &lt;/tr&gt;</v>
      </c>
    </row>
    <row r="129" spans="1:9" x14ac:dyDescent="0.25">
      <c r="A129" t="s">
        <v>907</v>
      </c>
      <c r="B129" t="s">
        <v>877</v>
      </c>
      <c r="C129" t="str">
        <f t="shared" si="3"/>
        <v>1322.23</v>
      </c>
      <c r="D129" t="s">
        <v>1157</v>
      </c>
      <c r="E129" s="2">
        <v>42704</v>
      </c>
      <c r="G129" t="s">
        <v>130</v>
      </c>
      <c r="H129" t="str">
        <f t="shared" si="4"/>
        <v>https://federallibrary.us/DOD/DODI/1322.23/CURRENT/TITLE.html</v>
      </c>
      <c r="I129" t="str">
        <f t="shared" si="5"/>
        <v>&lt;tr&gt; &lt;td&gt; &lt;a href=https://federallibrary.us/DOD/DODI/1322.23/CURRENT/TITLE.html&gt; DODI 1322.23&lt;/a&gt; &lt;/td&gt; &lt;td&gt; Secretary of Defense Executive Fellows (SDEF) &lt;/td&gt; &lt;/tr&gt;</v>
      </c>
    </row>
    <row r="130" spans="1:9" x14ac:dyDescent="0.25">
      <c r="A130" t="s">
        <v>907</v>
      </c>
      <c r="B130" t="s">
        <v>878</v>
      </c>
      <c r="C130" t="str">
        <f t="shared" si="3"/>
        <v>1322.24</v>
      </c>
      <c r="D130" t="s">
        <v>1157</v>
      </c>
      <c r="E130" s="2">
        <v>44607</v>
      </c>
      <c r="G130" t="s">
        <v>131</v>
      </c>
      <c r="H130" t="str">
        <f t="shared" si="4"/>
        <v>https://federallibrary.us/DOD/DODI/1322.24/CURRENT/TITLE.html</v>
      </c>
      <c r="I130" t="str">
        <f t="shared" si="5"/>
        <v>&lt;tr&gt; &lt;td&gt; &lt;a href=https://federallibrary.us/DOD/DODI/1322.24/CURRENT/TITLE.html&gt; DODI 1322.24&lt;/a&gt; &lt;/td&gt; &lt;td&gt; Medical Readiness Training &lt;/td&gt; &lt;/tr&gt;</v>
      </c>
    </row>
    <row r="131" spans="1:9" x14ac:dyDescent="0.25">
      <c r="A131" t="s">
        <v>907</v>
      </c>
      <c r="B131" t="s">
        <v>851</v>
      </c>
      <c r="C131" t="str">
        <f t="shared" ref="C131:C194" si="6">_xlfn.CONCAT(A131,".",B131)</f>
        <v>1322.25</v>
      </c>
      <c r="D131" t="s">
        <v>1157</v>
      </c>
      <c r="E131" s="2">
        <v>43923</v>
      </c>
      <c r="G131" t="s">
        <v>132</v>
      </c>
      <c r="H131" t="str">
        <f t="shared" ref="H131:H194" si="7">IF(D131="CURRENT",_xlfn.CONCAT("https://federallibrary.us/DOD/DODI/",C131,"/CURRENT/TITLE.html"),"")</f>
        <v>https://federallibrary.us/DOD/DODI/1322.25/CURRENT/TITLE.html</v>
      </c>
      <c r="I131" t="str">
        <f t="shared" ref="I131:I194" si="8">IF(D131="CURRENT",_xlfn.CONCAT("&lt;tr&gt; &lt;td&gt; &lt;a href=",H131,"&gt; DODI ",C131, "&lt;/a&gt; &lt;/td&gt; &lt;td&gt; ", G131, " &lt;/td&gt; &lt;/tr&gt;"),"")</f>
        <v>&lt;tr&gt; &lt;td&gt; &lt;a href=https://federallibrary.us/DOD/DODI/1322.25/CURRENT/TITLE.html&gt; DODI 1322.25&lt;/a&gt; &lt;/td&gt; &lt;td&gt; Voluntary Education Programs &lt;/td&gt; &lt;/tr&gt;</v>
      </c>
    </row>
    <row r="132" spans="1:9" x14ac:dyDescent="0.25">
      <c r="A132" t="s">
        <v>907</v>
      </c>
      <c r="B132" t="s">
        <v>894</v>
      </c>
      <c r="C132" t="str">
        <f t="shared" si="6"/>
        <v>1322.26</v>
      </c>
      <c r="D132" t="s">
        <v>1157</v>
      </c>
      <c r="E132" s="2">
        <v>43013</v>
      </c>
      <c r="G132" t="s">
        <v>133</v>
      </c>
      <c r="H132" t="str">
        <f t="shared" si="7"/>
        <v>https://federallibrary.us/DOD/DODI/1322.26/CURRENT/TITLE.html</v>
      </c>
      <c r="I132" t="str">
        <f t="shared" si="8"/>
        <v>&lt;tr&gt; &lt;td&gt; &lt;a href=https://federallibrary.us/DOD/DODI/1322.26/CURRENT/TITLE.html&gt; DODI 1322.26&lt;/a&gt; &lt;/td&gt; &lt;td&gt; Distributed Learning (DL) &lt;/td&gt; &lt;/tr&gt;</v>
      </c>
    </row>
    <row r="133" spans="1:9" x14ac:dyDescent="0.25">
      <c r="A133" t="s">
        <v>907</v>
      </c>
      <c r="B133" t="s">
        <v>852</v>
      </c>
      <c r="C133" t="str">
        <f t="shared" si="6"/>
        <v>1322.27</v>
      </c>
      <c r="D133" t="s">
        <v>1157</v>
      </c>
      <c r="E133" s="2">
        <v>39185</v>
      </c>
      <c r="G133" t="s">
        <v>134</v>
      </c>
      <c r="H133" t="str">
        <f t="shared" si="7"/>
        <v>https://federallibrary.us/DOD/DODI/1322.27/CURRENT/TITLE.html</v>
      </c>
      <c r="I133" t="str">
        <f t="shared" si="8"/>
        <v>&lt;tr&gt; &lt;td&gt; &lt;a href=https://federallibrary.us/DOD/DODI/1322.27/CURRENT/TITLE.html&gt; DODI 1322.27&lt;/a&gt; &lt;/td&gt; &lt;td&gt; DoD Urban Training Facilities &lt;/td&gt; &lt;/tr&gt;</v>
      </c>
    </row>
    <row r="134" spans="1:9" x14ac:dyDescent="0.25">
      <c r="A134" t="s">
        <v>907</v>
      </c>
      <c r="B134" t="s">
        <v>853</v>
      </c>
      <c r="C134" t="str">
        <f t="shared" si="6"/>
        <v>1322.28</v>
      </c>
      <c r="D134" t="s">
        <v>1157</v>
      </c>
      <c r="E134" s="2">
        <v>43945</v>
      </c>
      <c r="G134" t="s">
        <v>135</v>
      </c>
      <c r="H134" t="str">
        <f t="shared" si="7"/>
        <v>https://federallibrary.us/DOD/DODI/1322.28/CURRENT/TITLE.html</v>
      </c>
      <c r="I134" t="str">
        <f t="shared" si="8"/>
        <v>&lt;tr&gt; &lt;td&gt; &lt;a href=https://federallibrary.us/DOD/DODI/1322.28/CURRENT/TITLE.html&gt; DODI 1322.28&lt;/a&gt; &lt;/td&gt; &lt;td&gt; Realistic Military Training (RMT) Off Federal Real Property &lt;/td&gt; &lt;/tr&gt;</v>
      </c>
    </row>
    <row r="135" spans="1:9" x14ac:dyDescent="0.25">
      <c r="A135" t="s">
        <v>907</v>
      </c>
      <c r="B135" t="s">
        <v>895</v>
      </c>
      <c r="C135" t="str">
        <f t="shared" si="6"/>
        <v>1322.29</v>
      </c>
      <c r="D135" t="s">
        <v>1157</v>
      </c>
      <c r="E135" s="2">
        <v>43956</v>
      </c>
      <c r="G135" t="s">
        <v>136</v>
      </c>
      <c r="H135" t="str">
        <f t="shared" si="7"/>
        <v>https://federallibrary.us/DOD/DODI/1322.29/CURRENT/TITLE.html</v>
      </c>
      <c r="I135" t="str">
        <f t="shared" si="8"/>
        <v>&lt;tr&gt; &lt;td&gt; &lt;a href=https://federallibrary.us/DOD/DODI/1322.29/CURRENT/TITLE.html&gt; DODI 1322.29&lt;/a&gt; &lt;/td&gt; &lt;td&gt; Job Training, Employment Skills Training, Apprenticeships, and Internships (JTEST-AI) for Eligible Service Members &lt;/td&gt; &lt;/tr&gt;</v>
      </c>
    </row>
    <row r="136" spans="1:9" x14ac:dyDescent="0.25">
      <c r="A136" t="s">
        <v>907</v>
      </c>
      <c r="B136" t="s">
        <v>854</v>
      </c>
      <c r="C136" t="str">
        <f t="shared" si="6"/>
        <v>1322.30</v>
      </c>
      <c r="D136" t="s">
        <v>1157</v>
      </c>
      <c r="E136" s="2">
        <v>43964</v>
      </c>
      <c r="G136" t="s">
        <v>137</v>
      </c>
      <c r="H136" t="str">
        <f t="shared" si="7"/>
        <v>https://federallibrary.us/DOD/DODI/1322.30/CURRENT/TITLE.html</v>
      </c>
      <c r="I136" t="str">
        <f t="shared" si="8"/>
        <v>&lt;tr&gt; &lt;td&gt; &lt;a href=https://federallibrary.us/DOD/DODI/1322.30/CURRENT/TITLE.html&gt; DODI 1322.30&lt;/a&gt; &lt;/td&gt; &lt;td&gt; Reserve Educational Assistance Program (REAP) &lt;/td&gt; &lt;/tr&gt;</v>
      </c>
    </row>
    <row r="137" spans="1:9" x14ac:dyDescent="0.25">
      <c r="A137" t="s">
        <v>907</v>
      </c>
      <c r="B137" t="s">
        <v>855</v>
      </c>
      <c r="C137" t="str">
        <f t="shared" si="6"/>
        <v>1322.31</v>
      </c>
      <c r="D137" t="s">
        <v>1157</v>
      </c>
      <c r="E137" s="2">
        <v>45062</v>
      </c>
      <c r="G137" t="s">
        <v>138</v>
      </c>
      <c r="H137" t="str">
        <f t="shared" si="7"/>
        <v>https://federallibrary.us/DOD/DODI/1322.31/CURRENT/TITLE.html</v>
      </c>
      <c r="I137" t="str">
        <f t="shared" si="8"/>
        <v>&lt;tr&gt; &lt;td&gt; &lt;a href=https://federallibrary.us/DOD/DODI/1322.31/CURRENT/TITLE.html&gt; DODI 1322.31&lt;/a&gt; &lt;/td&gt; &lt;td&gt; Common Military Training &lt;/td&gt; &lt;/tr&gt;</v>
      </c>
    </row>
    <row r="138" spans="1:9" x14ac:dyDescent="0.25">
      <c r="A138" t="s">
        <v>907</v>
      </c>
      <c r="B138" t="s">
        <v>856</v>
      </c>
      <c r="C138" t="str">
        <f t="shared" si="6"/>
        <v>1322.32</v>
      </c>
      <c r="D138" t="s">
        <v>1157</v>
      </c>
      <c r="E138" s="2">
        <v>44433</v>
      </c>
      <c r="G138" t="s">
        <v>139</v>
      </c>
      <c r="H138" t="str">
        <f t="shared" si="7"/>
        <v>https://federallibrary.us/DOD/DODI/1322.32/CURRENT/TITLE.html</v>
      </c>
      <c r="I138" t="str">
        <f t="shared" si="8"/>
        <v>&lt;tr&gt; &lt;td&gt; &lt;a href=https://federallibrary.us/DOD/DODI/1322.32/CURRENT/TITLE.html&gt; DODI 1322.32&lt;/a&gt; &lt;/td&gt; &lt;td&gt;  Pre-deployment Training and Theater-entry Requirements &lt;/td&gt; &lt;/tr&gt;</v>
      </c>
    </row>
    <row r="139" spans="1:9" x14ac:dyDescent="0.25">
      <c r="A139" t="s">
        <v>907</v>
      </c>
      <c r="B139" t="s">
        <v>897</v>
      </c>
      <c r="C139" t="str">
        <f t="shared" si="6"/>
        <v>1322.33</v>
      </c>
      <c r="D139" t="s">
        <v>1157</v>
      </c>
      <c r="E139" s="2">
        <v>44482</v>
      </c>
      <c r="G139" t="s">
        <v>140</v>
      </c>
      <c r="H139" t="str">
        <f t="shared" si="7"/>
        <v>https://federallibrary.us/DOD/DODI/1322.33/CURRENT/TITLE.html</v>
      </c>
      <c r="I139" t="str">
        <f t="shared" si="8"/>
        <v>&lt;tr&gt; &lt;td&gt; &lt;a href=https://federallibrary.us/DOD/DODI/1322.33/CURRENT/TITLE.html&gt; DODI 1322.33&lt;/a&gt; &lt;/td&gt; &lt;td&gt; DoD Credentialing Programs &lt;/td&gt; &lt;/tr&gt;</v>
      </c>
    </row>
    <row r="140" spans="1:9" x14ac:dyDescent="0.25">
      <c r="A140" t="s">
        <v>907</v>
      </c>
      <c r="B140" t="s">
        <v>898</v>
      </c>
      <c r="C140" t="str">
        <f t="shared" si="6"/>
        <v>1322.34</v>
      </c>
      <c r="D140" t="s">
        <v>1157</v>
      </c>
      <c r="E140" s="2">
        <v>44505</v>
      </c>
      <c r="G140" t="s">
        <v>141</v>
      </c>
      <c r="H140" t="str">
        <f t="shared" si="7"/>
        <v>https://federallibrary.us/DOD/DODI/1322.34/CURRENT/TITLE.html</v>
      </c>
      <c r="I140" t="str">
        <f t="shared" si="8"/>
        <v>&lt;tr&gt; &lt;td&gt; &lt;a href=https://federallibrary.us/DOD/DODI/1322.34/CURRENT/TITLE.html&gt; DODI 1322.34&lt;/a&gt; &lt;/td&gt; &lt;td&gt; Financial Readiness of Service Members &lt;/td&gt; &lt;/tr&gt;</v>
      </c>
    </row>
    <row r="141" spans="1:9" x14ac:dyDescent="0.25">
      <c r="A141" t="s">
        <v>907</v>
      </c>
      <c r="B141" t="s">
        <v>899</v>
      </c>
      <c r="C141" t="str">
        <f t="shared" si="6"/>
        <v>1322.35</v>
      </c>
      <c r="D141" t="s">
        <v>1157</v>
      </c>
      <c r="E141" s="2">
        <v>44677</v>
      </c>
      <c r="G141" t="s">
        <v>142</v>
      </c>
      <c r="H141" t="str">
        <f t="shared" si="7"/>
        <v>https://federallibrary.us/DOD/DODI/1322.35/CURRENT/TITLE.html</v>
      </c>
      <c r="I141" t="str">
        <f t="shared" si="8"/>
        <v>&lt;tr&gt; &lt;td&gt; &lt;a href=https://federallibrary.us/DOD/DODI/1322.35/CURRENT/TITLE.html&gt; DODI 1322.35&lt;/a&gt; &lt;/td&gt; &lt;td&gt; Military Education: Program Management and Administration &lt;/td&gt; &lt;/tr&gt;</v>
      </c>
    </row>
    <row r="142" spans="1:9" x14ac:dyDescent="0.25">
      <c r="A142" t="s">
        <v>908</v>
      </c>
      <c r="B142" t="s">
        <v>870</v>
      </c>
      <c r="C142" t="str">
        <f t="shared" si="6"/>
        <v>1325.02</v>
      </c>
      <c r="D142" t="s">
        <v>1157</v>
      </c>
      <c r="E142" s="2">
        <v>44495</v>
      </c>
      <c r="G142" t="s">
        <v>143</v>
      </c>
      <c r="H142" t="str">
        <f t="shared" si="7"/>
        <v>https://federallibrary.us/DOD/DODI/1325.02/CURRENT/TITLE.html</v>
      </c>
      <c r="I142" t="str">
        <f t="shared" si="8"/>
        <v>&lt;tr&gt; &lt;td&gt; &lt;a href=https://federallibrary.us/DOD/DODI/1325.02/CURRENT/TITLE.html&gt; DODI 1325.02&lt;/a&gt; &lt;/td&gt; &lt;td&gt; Desertion and Unauthorized Absence or Absence Without Leave &lt;/td&gt; &lt;/tr&gt;</v>
      </c>
    </row>
    <row r="143" spans="1:9" x14ac:dyDescent="0.25">
      <c r="A143" t="s">
        <v>908</v>
      </c>
      <c r="B143" t="s">
        <v>858</v>
      </c>
      <c r="C143" t="str">
        <f t="shared" si="6"/>
        <v>1325.06</v>
      </c>
      <c r="D143" t="s">
        <v>1157</v>
      </c>
      <c r="E143" s="2">
        <v>44550</v>
      </c>
      <c r="G143" t="s">
        <v>144</v>
      </c>
      <c r="H143" t="str">
        <f t="shared" si="7"/>
        <v>https://federallibrary.us/DOD/DODI/1325.06/CURRENT/TITLE.html</v>
      </c>
      <c r="I143" t="str">
        <f t="shared" si="8"/>
        <v>&lt;tr&gt; &lt;td&gt; &lt;a href=https://federallibrary.us/DOD/DODI/1325.06/CURRENT/TITLE.html&gt; DODI 1325.06&lt;/a&gt; &lt;/td&gt; &lt;td&gt; Handling Protest, Extremist, and Criminal Gang Activities Among Members of the Armed Forces &lt;/td&gt; &lt;/tr&gt;</v>
      </c>
    </row>
    <row r="144" spans="1:9" x14ac:dyDescent="0.25">
      <c r="A144" t="s">
        <v>908</v>
      </c>
      <c r="B144" t="s">
        <v>871</v>
      </c>
      <c r="C144" t="str">
        <f t="shared" si="6"/>
        <v>1325.07</v>
      </c>
      <c r="D144" t="s">
        <v>1157</v>
      </c>
      <c r="E144" s="2">
        <v>44062</v>
      </c>
      <c r="G144" t="s">
        <v>145</v>
      </c>
      <c r="H144" t="str">
        <f t="shared" si="7"/>
        <v>https://federallibrary.us/DOD/DODI/1325.07/CURRENT/TITLE.html</v>
      </c>
      <c r="I144" t="str">
        <f t="shared" si="8"/>
        <v>&lt;tr&gt; &lt;td&gt; &lt;a href=https://federallibrary.us/DOD/DODI/1325.07/CURRENT/TITLE.html&gt; DODI 1325.07&lt;/a&gt; &lt;/td&gt; &lt;td&gt; Administration of Military Correctional Facilities and Clemency and Parole Authority &lt;/td&gt; &lt;/tr&gt;</v>
      </c>
    </row>
    <row r="145" spans="1:9" x14ac:dyDescent="0.25">
      <c r="A145" t="s">
        <v>909</v>
      </c>
      <c r="B145" t="s">
        <v>858</v>
      </c>
      <c r="C145" t="str">
        <f t="shared" si="6"/>
        <v>1327.06</v>
      </c>
      <c r="D145" t="s">
        <v>1157</v>
      </c>
      <c r="E145" s="2">
        <v>45163</v>
      </c>
      <c r="G145" t="s">
        <v>146</v>
      </c>
      <c r="H145" t="str">
        <f t="shared" si="7"/>
        <v>https://federallibrary.us/DOD/DODI/1327.06/CURRENT/TITLE.html</v>
      </c>
      <c r="I145" t="str">
        <f t="shared" si="8"/>
        <v>&lt;tr&gt; &lt;td&gt; &lt;a href=https://federallibrary.us/DOD/DODI/1327.06/CURRENT/TITLE.html&gt; DODI 1327.06&lt;/a&gt; &lt;/td&gt; &lt;td&gt; Leave and Liberty Policy and Procedures &lt;/td&gt; &lt;/tr&gt;</v>
      </c>
    </row>
    <row r="146" spans="1:9" x14ac:dyDescent="0.25">
      <c r="A146" t="s">
        <v>909</v>
      </c>
      <c r="B146" t="s">
        <v>871</v>
      </c>
      <c r="C146" t="str">
        <f t="shared" si="6"/>
        <v>1327.07</v>
      </c>
      <c r="D146" t="s">
        <v>1157</v>
      </c>
      <c r="E146" s="2">
        <v>44733</v>
      </c>
      <c r="G146" t="s">
        <v>147</v>
      </c>
      <c r="H146" t="str">
        <f t="shared" si="7"/>
        <v>https://federallibrary.us/DOD/DODI/1327.07/CURRENT/TITLE.html</v>
      </c>
      <c r="I146" t="str">
        <f t="shared" si="8"/>
        <v>&lt;tr&gt; &lt;td&gt; &lt;a href=https://federallibrary.us/DOD/DODI/1327.07/CURRENT/TITLE.html&gt; DODI 1327.07&lt;/a&gt; &lt;/td&gt; &lt;td&gt; Career Intermission Program for Service Members &lt;/td&gt; &lt;/tr&gt;</v>
      </c>
    </row>
    <row r="147" spans="1:9" x14ac:dyDescent="0.25">
      <c r="A147" t="s">
        <v>910</v>
      </c>
      <c r="B147" t="s">
        <v>846</v>
      </c>
      <c r="C147" t="str">
        <f t="shared" si="6"/>
        <v>1330.04</v>
      </c>
      <c r="D147" t="s">
        <v>1157</v>
      </c>
      <c r="E147" s="2">
        <v>44762</v>
      </c>
      <c r="G147" t="s">
        <v>148</v>
      </c>
      <c r="H147" t="str">
        <f t="shared" si="7"/>
        <v>https://federallibrary.us/DOD/DODI/1330.04/CURRENT/TITLE.html</v>
      </c>
      <c r="I147" t="str">
        <f t="shared" si="8"/>
        <v>&lt;tr&gt; &lt;td&gt; &lt;a href=https://federallibrary.us/DOD/DODI/1330.04/CURRENT/TITLE.html&gt; DODI 1330.04&lt;/a&gt; &lt;/td&gt; &lt;td&gt; Military Services Participation in National and International Sports Activities &lt;/td&gt; &lt;/tr&gt;</v>
      </c>
    </row>
    <row r="148" spans="1:9" x14ac:dyDescent="0.25">
      <c r="A148" t="s">
        <v>910</v>
      </c>
      <c r="B148" t="s">
        <v>862</v>
      </c>
      <c r="C148" t="str">
        <f t="shared" si="6"/>
        <v>1330.09</v>
      </c>
      <c r="D148" t="s">
        <v>1157</v>
      </c>
      <c r="E148" s="2">
        <v>38693</v>
      </c>
      <c r="G148" t="s">
        <v>149</v>
      </c>
      <c r="H148" t="str">
        <f t="shared" si="7"/>
        <v>https://federallibrary.us/DOD/DODI/1330.09/CURRENT/TITLE.html</v>
      </c>
      <c r="I148" t="str">
        <f t="shared" si="8"/>
        <v>&lt;tr&gt; &lt;td&gt; &lt;a href=https://federallibrary.us/DOD/DODI/1330.09/CURRENT/TITLE.html&gt; DODI 1330.09&lt;/a&gt; &lt;/td&gt; &lt;td&gt; Armed Services Exchange Policy &lt;/td&gt; &lt;/tr&gt;</v>
      </c>
    </row>
    <row r="149" spans="1:9" x14ac:dyDescent="0.25">
      <c r="A149" t="s">
        <v>910</v>
      </c>
      <c r="B149" t="s">
        <v>850</v>
      </c>
      <c r="C149" t="str">
        <f t="shared" si="6"/>
        <v>1330.17</v>
      </c>
      <c r="D149" t="s">
        <v>1157</v>
      </c>
      <c r="E149" s="2">
        <v>43357</v>
      </c>
      <c r="G149" t="s">
        <v>150</v>
      </c>
      <c r="H149" t="str">
        <f t="shared" si="7"/>
        <v>https://federallibrary.us/DOD/DODI/1330.17/CURRENT/TITLE.html</v>
      </c>
      <c r="I149" t="str">
        <f t="shared" si="8"/>
        <v>&lt;tr&gt; &lt;td&gt; &lt;a href=https://federallibrary.us/DOD/DODI/1330.17/CURRENT/TITLE.html&gt; DODI 1330.17&lt;/a&gt; &lt;/td&gt; &lt;td&gt; DoD Commissary Program &lt;/td&gt; &lt;/tr&gt;</v>
      </c>
    </row>
    <row r="150" spans="1:9" x14ac:dyDescent="0.25">
      <c r="A150" t="s">
        <v>910</v>
      </c>
      <c r="B150" t="s">
        <v>875</v>
      </c>
      <c r="C150" t="str">
        <f t="shared" si="6"/>
        <v>1330.21</v>
      </c>
      <c r="D150" t="s">
        <v>1157</v>
      </c>
      <c r="E150" s="2">
        <v>38547</v>
      </c>
      <c r="G150" t="s">
        <v>151</v>
      </c>
      <c r="H150" t="str">
        <f t="shared" si="7"/>
        <v>https://federallibrary.us/DOD/DODI/1330.21/CURRENT/TITLE.html</v>
      </c>
      <c r="I150" t="str">
        <f t="shared" si="8"/>
        <v>&lt;tr&gt; &lt;td&gt; &lt;a href=https://federallibrary.us/DOD/DODI/1330.21/CURRENT/TITLE.html&gt; DODI 1330.21&lt;/a&gt; &lt;/td&gt; &lt;td&gt; Armed Services Exchange Regulations &lt;/td&gt; &lt;/tr&gt;</v>
      </c>
    </row>
    <row r="151" spans="1:9" x14ac:dyDescent="0.25">
      <c r="A151" t="s">
        <v>911</v>
      </c>
      <c r="B151" t="s">
        <v>859</v>
      </c>
      <c r="C151" t="str">
        <f t="shared" si="6"/>
        <v>1332.14</v>
      </c>
      <c r="D151" t="s">
        <v>1157</v>
      </c>
      <c r="E151" s="2">
        <v>44735</v>
      </c>
      <c r="G151" t="s">
        <v>152</v>
      </c>
      <c r="H151" t="str">
        <f t="shared" si="7"/>
        <v>https://federallibrary.us/DOD/DODI/1332.14/CURRENT/TITLE.html</v>
      </c>
      <c r="I151" t="str">
        <f t="shared" si="8"/>
        <v>&lt;tr&gt; &lt;td&gt; &lt;a href=https://federallibrary.us/DOD/DODI/1332.14/CURRENT/TITLE.html&gt; DODI 1332.14&lt;/a&gt; &lt;/td&gt; &lt;td&gt; Enlisted Administrative Separations &lt;/td&gt; &lt;/tr&gt;</v>
      </c>
    </row>
    <row r="152" spans="1:9" x14ac:dyDescent="0.25">
      <c r="A152" t="s">
        <v>911</v>
      </c>
      <c r="B152" t="s">
        <v>884</v>
      </c>
      <c r="C152" t="str">
        <f t="shared" si="6"/>
        <v>1332.18</v>
      </c>
      <c r="D152" t="s">
        <v>1157</v>
      </c>
      <c r="E152" s="2">
        <v>44875</v>
      </c>
      <c r="G152" t="s">
        <v>153</v>
      </c>
      <c r="H152" t="str">
        <f t="shared" si="7"/>
        <v>https://federallibrary.us/DOD/DODI/1332.18/CURRENT/TITLE.html</v>
      </c>
      <c r="I152" t="str">
        <f t="shared" si="8"/>
        <v>&lt;tr&gt; &lt;td&gt; &lt;a href=https://federallibrary.us/DOD/DODI/1332.18/CURRENT/TITLE.html&gt; DODI 1332.18&lt;/a&gt; &lt;/td&gt; &lt;td&gt; Disability Evaluation System &lt;/td&gt; &lt;/tr&gt;</v>
      </c>
    </row>
    <row r="153" spans="1:9" x14ac:dyDescent="0.25">
      <c r="A153" t="s">
        <v>911</v>
      </c>
      <c r="B153" t="s">
        <v>905</v>
      </c>
      <c r="C153" t="str">
        <f t="shared" si="6"/>
        <v>1332.20</v>
      </c>
      <c r="D153" t="s">
        <v>1157</v>
      </c>
      <c r="E153" s="2">
        <v>43964</v>
      </c>
      <c r="G153" t="s">
        <v>154</v>
      </c>
      <c r="H153" t="str">
        <f t="shared" si="7"/>
        <v>https://federallibrary.us/DOD/DODI/1332.20/CURRENT/TITLE.html</v>
      </c>
      <c r="I153" t="str">
        <f t="shared" si="8"/>
        <v>&lt;tr&gt; &lt;td&gt; &lt;a href=https://federallibrary.us/DOD/DODI/1332.20/CURRENT/TITLE.html&gt; DODI 1332.20&lt;/a&gt; &lt;/td&gt; &lt;td&gt; Minimum Service in Grade for Non-Disability (Voluntary) Retirement in the Grades of W-3 through W-5 and E-7 Through E-9 &lt;/td&gt; &lt;/tr&gt;</v>
      </c>
    </row>
    <row r="154" spans="1:9" x14ac:dyDescent="0.25">
      <c r="A154" t="s">
        <v>911</v>
      </c>
      <c r="B154" t="s">
        <v>853</v>
      </c>
      <c r="C154" t="str">
        <f t="shared" si="6"/>
        <v>1332.28</v>
      </c>
      <c r="D154" t="s">
        <v>1157</v>
      </c>
      <c r="E154" s="2">
        <v>38081</v>
      </c>
      <c r="G154" t="s">
        <v>155</v>
      </c>
      <c r="H154" t="str">
        <f t="shared" si="7"/>
        <v>https://federallibrary.us/DOD/DODI/1332.28/CURRENT/TITLE.html</v>
      </c>
      <c r="I154" t="str">
        <f t="shared" si="8"/>
        <v>&lt;tr&gt; &lt;td&gt; &lt;a href=https://federallibrary.us/DOD/DODI/1332.28/CURRENT/TITLE.html&gt; DODI 1332.28&lt;/a&gt; &lt;/td&gt; &lt;td&gt; Discharge Review Board (DRB) Procedures and Standards &lt;/td&gt; &lt;/tr&gt;</v>
      </c>
    </row>
    <row r="155" spans="1:9" x14ac:dyDescent="0.25">
      <c r="A155" t="s">
        <v>911</v>
      </c>
      <c r="B155" t="s">
        <v>895</v>
      </c>
      <c r="C155" t="str">
        <f t="shared" si="6"/>
        <v>1332.29</v>
      </c>
      <c r="D155" t="s">
        <v>1157</v>
      </c>
      <c r="E155" s="2">
        <v>42797</v>
      </c>
      <c r="G155" t="s">
        <v>156</v>
      </c>
      <c r="H155" t="str">
        <f t="shared" si="7"/>
        <v>https://federallibrary.us/DOD/DODI/1332.29/CURRENT/TITLE.html</v>
      </c>
      <c r="I155" t="str">
        <f t="shared" si="8"/>
        <v>&lt;tr&gt; &lt;td&gt; &lt;a href=https://federallibrary.us/DOD/DODI/1332.29/CURRENT/TITLE.html&gt; DODI 1332.29&lt;/a&gt; &lt;/td&gt; &lt;td&gt; Involuntary Separation Pay (Non-Disability) &lt;/td&gt; &lt;/tr&gt;</v>
      </c>
    </row>
    <row r="156" spans="1:9" x14ac:dyDescent="0.25">
      <c r="A156" t="s">
        <v>911</v>
      </c>
      <c r="B156" t="s">
        <v>854</v>
      </c>
      <c r="C156" t="str">
        <f t="shared" si="6"/>
        <v>1332.30</v>
      </c>
      <c r="D156" t="s">
        <v>1157</v>
      </c>
      <c r="E156" s="2">
        <v>44448</v>
      </c>
      <c r="G156" t="s">
        <v>157</v>
      </c>
      <c r="H156" t="str">
        <f t="shared" si="7"/>
        <v>https://federallibrary.us/DOD/DODI/1332.30/CURRENT/TITLE.html</v>
      </c>
      <c r="I156" t="str">
        <f t="shared" si="8"/>
        <v>&lt;tr&gt; &lt;td&gt; &lt;a href=https://federallibrary.us/DOD/DODI/1332.30/CURRENT/TITLE.html&gt; DODI 1332.30&lt;/a&gt; &lt;/td&gt; &lt;td&gt; Commissioned Officer Administrative Separations &lt;/td&gt; &lt;/tr&gt;</v>
      </c>
    </row>
    <row r="157" spans="1:9" x14ac:dyDescent="0.25">
      <c r="A157" t="s">
        <v>911</v>
      </c>
      <c r="B157" t="s">
        <v>856</v>
      </c>
      <c r="C157" t="str">
        <f t="shared" si="6"/>
        <v>1332.32</v>
      </c>
      <c r="D157" t="s">
        <v>1157</v>
      </c>
      <c r="E157" s="2">
        <v>43957</v>
      </c>
      <c r="G157" t="s">
        <v>158</v>
      </c>
      <c r="H157" t="str">
        <f t="shared" si="7"/>
        <v>https://federallibrary.us/DOD/DODI/1332.32/CURRENT/TITLE.html</v>
      </c>
      <c r="I157" t="str">
        <f t="shared" si="8"/>
        <v>&lt;tr&gt; &lt;td&gt; &lt;a href=https://federallibrary.us/DOD/DODI/1332.32/CURRENT/TITLE.html&gt; DODI 1332.32&lt;/a&gt; &lt;/td&gt; &lt;td&gt; Selective Early Retirement Or Removal of Officers on the Active Duty List, the Warrant Officer Active Duty List, Or the Reserve Active Status List &lt;/td&gt; &lt;/tr&gt;</v>
      </c>
    </row>
    <row r="158" spans="1:9" x14ac:dyDescent="0.25">
      <c r="A158" t="s">
        <v>911</v>
      </c>
      <c r="B158" t="s">
        <v>899</v>
      </c>
      <c r="C158" t="str">
        <f t="shared" si="6"/>
        <v>1332.35</v>
      </c>
      <c r="D158" t="s">
        <v>1157</v>
      </c>
      <c r="E158" s="2">
        <v>43734</v>
      </c>
      <c r="G158" t="s">
        <v>159</v>
      </c>
      <c r="H158" t="str">
        <f t="shared" si="7"/>
        <v>https://federallibrary.us/DOD/DODI/1332.35/CURRENT/TITLE.html</v>
      </c>
      <c r="I158" t="str">
        <f t="shared" si="8"/>
        <v>&lt;tr&gt; &lt;td&gt; &lt;a href=https://federallibrary.us/DOD/DODI/1332.35/CURRENT/TITLE.html&gt; DODI 1332.35&lt;/a&gt; &lt;/td&gt; &lt;td&gt; Transition Assistance Program (TAP) for Military Personnel &lt;/td&gt; &lt;/tr&gt;</v>
      </c>
    </row>
    <row r="159" spans="1:9" x14ac:dyDescent="0.25">
      <c r="A159" t="s">
        <v>911</v>
      </c>
      <c r="B159" t="s">
        <v>912</v>
      </c>
      <c r="C159" t="str">
        <f t="shared" si="6"/>
        <v>1332.42</v>
      </c>
      <c r="D159" t="s">
        <v>1157</v>
      </c>
      <c r="E159" s="2">
        <v>44195</v>
      </c>
      <c r="G159" t="s">
        <v>160</v>
      </c>
      <c r="H159" t="str">
        <f t="shared" si="7"/>
        <v>https://federallibrary.us/DOD/DODI/1332.42/CURRENT/TITLE.html</v>
      </c>
      <c r="I159" t="str">
        <f t="shared" si="8"/>
        <v>&lt;tr&gt; &lt;td&gt; &lt;a href=https://federallibrary.us/DOD/DODI/1332.42/CURRENT/TITLE.html&gt; DODI 1332.42&lt;/a&gt; &lt;/td&gt; &lt;td&gt; Survivor Benefit Plan &lt;/td&gt; &lt;/tr&gt;</v>
      </c>
    </row>
    <row r="160" spans="1:9" x14ac:dyDescent="0.25">
      <c r="A160" t="s">
        <v>911</v>
      </c>
      <c r="B160" t="s">
        <v>913</v>
      </c>
      <c r="C160" t="str">
        <f t="shared" si="6"/>
        <v>1332.43</v>
      </c>
      <c r="D160" t="s">
        <v>1157</v>
      </c>
      <c r="E160" s="2">
        <v>43067</v>
      </c>
      <c r="G160" t="s">
        <v>161</v>
      </c>
      <c r="H160" t="str">
        <f t="shared" si="7"/>
        <v>https://federallibrary.us/DOD/DODI/1332.43/CURRENT/TITLE.html</v>
      </c>
      <c r="I160" t="str">
        <f t="shared" si="8"/>
        <v>&lt;tr&gt; &lt;td&gt; &lt;a href=https://federallibrary.us/DOD/DODI/1332.43/CURRENT/TITLE.html&gt; DODI 1332.43&lt;/a&gt; &lt;/td&gt; &lt;td&gt; Voluntary Separation Pay (VSP) Program for Service Members &lt;/td&gt; &lt;/tr&gt;</v>
      </c>
    </row>
    <row r="161" spans="1:9" x14ac:dyDescent="0.25">
      <c r="A161" t="s">
        <v>911</v>
      </c>
      <c r="B161" t="s">
        <v>914</v>
      </c>
      <c r="C161" t="str">
        <f t="shared" si="6"/>
        <v>1332.45</v>
      </c>
      <c r="D161" t="s">
        <v>1157</v>
      </c>
      <c r="E161" s="2">
        <v>44313</v>
      </c>
      <c r="G161" t="s">
        <v>162</v>
      </c>
      <c r="H161" t="str">
        <f t="shared" si="7"/>
        <v>https://federallibrary.us/DOD/DODI/1332.45/CURRENT/TITLE.html</v>
      </c>
      <c r="I161" t="str">
        <f t="shared" si="8"/>
        <v>&lt;tr&gt; &lt;td&gt; &lt;a href=https://federallibrary.us/DOD/DODI/1332.45/CURRENT/TITLE.html&gt; DODI 1332.45&lt;/a&gt; &lt;/td&gt; &lt;td&gt; Retention Determinations for Non-Deployable Service Members &lt;/td&gt; &lt;/tr&gt;</v>
      </c>
    </row>
    <row r="162" spans="1:9" x14ac:dyDescent="0.25">
      <c r="A162" t="s">
        <v>911</v>
      </c>
      <c r="B162" t="s">
        <v>915</v>
      </c>
      <c r="C162" t="str">
        <f t="shared" si="6"/>
        <v>1332.46</v>
      </c>
      <c r="D162" t="s">
        <v>1157</v>
      </c>
      <c r="E162" s="2">
        <v>43455</v>
      </c>
      <c r="G162" t="s">
        <v>163</v>
      </c>
      <c r="H162" t="str">
        <f t="shared" si="7"/>
        <v>https://federallibrary.us/DOD/DODI/1332.46/CURRENT/TITLE.html</v>
      </c>
      <c r="I162" t="str">
        <f t="shared" si="8"/>
        <v>&lt;tr&gt; &lt;td&gt; &lt;a href=https://federallibrary.us/DOD/DODI/1332.46/CURRENT/TITLE.html&gt; DODI 1332.46&lt;/a&gt; &lt;/td&gt; &lt;td&gt; Temporary Early Retirement Authority (TERA) for Service Members &lt;/td&gt; &lt;/tr&gt;</v>
      </c>
    </row>
    <row r="163" spans="1:9" x14ac:dyDescent="0.25">
      <c r="A163" t="s">
        <v>916</v>
      </c>
      <c r="B163" t="s">
        <v>845</v>
      </c>
      <c r="C163" t="str">
        <f t="shared" si="6"/>
        <v>1334.01</v>
      </c>
      <c r="D163" t="s">
        <v>1157</v>
      </c>
      <c r="E163" s="2">
        <v>44390</v>
      </c>
      <c r="G163" t="s">
        <v>164</v>
      </c>
      <c r="H163" t="str">
        <f t="shared" si="7"/>
        <v>https://federallibrary.us/DOD/DODI/1334.01/CURRENT/TITLE.html</v>
      </c>
      <c r="I163" t="str">
        <f t="shared" si="8"/>
        <v>&lt;tr&gt; &lt;td&gt; &lt;a href=https://federallibrary.us/DOD/DODI/1334.01/CURRENT/TITLE.html&gt; DODI 1334.01&lt;/a&gt; &lt;/td&gt; &lt;td&gt; Wearing of the Uniform &lt;/td&gt; &lt;/tr&gt;</v>
      </c>
    </row>
    <row r="164" spans="1:9" x14ac:dyDescent="0.25">
      <c r="A164" t="s">
        <v>916</v>
      </c>
      <c r="B164" t="s">
        <v>870</v>
      </c>
      <c r="C164" t="str">
        <f t="shared" si="6"/>
        <v>1334.02</v>
      </c>
      <c r="D164" t="s">
        <v>1157</v>
      </c>
      <c r="E164" s="2">
        <v>44691</v>
      </c>
      <c r="G164" t="s">
        <v>165</v>
      </c>
      <c r="H164" t="str">
        <f t="shared" si="7"/>
        <v>https://federallibrary.us/DOD/DODI/1334.02/CURRENT/TITLE.html</v>
      </c>
      <c r="I164" t="str">
        <f t="shared" si="8"/>
        <v>&lt;tr&gt; &lt;td&gt; &lt;a href=https://federallibrary.us/DOD/DODI/1334.02/CURRENT/TITLE.html&gt; DODI 1334.02&lt;/a&gt; &lt;/td&gt; &lt;td&gt; Frocking of Commissioned Officers &lt;/td&gt; &lt;/tr&gt;</v>
      </c>
    </row>
    <row r="165" spans="1:9" x14ac:dyDescent="0.25">
      <c r="A165" t="s">
        <v>917</v>
      </c>
      <c r="B165" t="s">
        <v>845</v>
      </c>
      <c r="C165" t="str">
        <f t="shared" si="6"/>
        <v>1336.01</v>
      </c>
      <c r="D165" t="s">
        <v>1157</v>
      </c>
      <c r="E165" s="2">
        <v>44609</v>
      </c>
      <c r="G165" t="s">
        <v>166</v>
      </c>
      <c r="H165" t="str">
        <f t="shared" si="7"/>
        <v>https://federallibrary.us/DOD/DODI/1336.01/CURRENT/TITLE.html</v>
      </c>
      <c r="I165" t="str">
        <f t="shared" si="8"/>
        <v>&lt;tr&gt; &lt;td&gt; &lt;a href=https://federallibrary.us/DOD/DODI/1336.01/CURRENT/TITLE.html&gt; DODI 1336.01&lt;/a&gt; &lt;/td&gt; &lt;td&gt; Certificate of Uniformed Service (DD Form 214/5 Series) &lt;/td&gt; &lt;/tr&gt;</v>
      </c>
    </row>
    <row r="166" spans="1:9" x14ac:dyDescent="0.25">
      <c r="A166" t="s">
        <v>917</v>
      </c>
      <c r="B166" t="s">
        <v>871</v>
      </c>
      <c r="C166" t="str">
        <f t="shared" si="6"/>
        <v>1336.07</v>
      </c>
      <c r="D166" t="s">
        <v>1157</v>
      </c>
      <c r="E166" s="2">
        <v>44193</v>
      </c>
      <c r="G166" t="s">
        <v>167</v>
      </c>
      <c r="H166" t="str">
        <f t="shared" si="7"/>
        <v>https://federallibrary.us/DOD/DODI/1336.07/CURRENT/TITLE.html</v>
      </c>
      <c r="I166" t="str">
        <f t="shared" si="8"/>
        <v>&lt;tr&gt; &lt;td&gt; &lt;a href=https://federallibrary.us/DOD/DODI/1336.07/CURRENT/TITLE.html&gt; DODI 1336.07&lt;/a&gt; &lt;/td&gt; &lt;td&gt; Management of Personnel Tempo &lt;/td&gt; &lt;/tr&gt;</v>
      </c>
    </row>
    <row r="167" spans="1:9" x14ac:dyDescent="0.25">
      <c r="A167" t="s">
        <v>917</v>
      </c>
      <c r="B167" t="s">
        <v>865</v>
      </c>
      <c r="C167" t="str">
        <f t="shared" si="6"/>
        <v>1336.08</v>
      </c>
      <c r="D167" t="s">
        <v>1157</v>
      </c>
      <c r="E167" s="2">
        <v>40130</v>
      </c>
      <c r="G167" t="s">
        <v>168</v>
      </c>
      <c r="H167" t="str">
        <f t="shared" si="7"/>
        <v>https://federallibrary.us/DOD/DODI/1336.08/CURRENT/TITLE.html</v>
      </c>
      <c r="I167" t="str">
        <f t="shared" si="8"/>
        <v>&lt;tr&gt; &lt;td&gt; &lt;a href=https://federallibrary.us/DOD/DODI/1336.08/CURRENT/TITLE.html&gt; DODI 1336.08&lt;/a&gt; &lt;/td&gt; &lt;td&gt; Military Human Resource Records Life Cycle Management &lt;/td&gt; &lt;/tr&gt;</v>
      </c>
    </row>
    <row r="168" spans="1:9" x14ac:dyDescent="0.25">
      <c r="A168" t="s">
        <v>918</v>
      </c>
      <c r="B168" t="s">
        <v>884</v>
      </c>
      <c r="C168" t="str">
        <f t="shared" si="6"/>
        <v>1338.18</v>
      </c>
      <c r="D168" t="s">
        <v>1157</v>
      </c>
      <c r="E168" s="2">
        <v>35802</v>
      </c>
      <c r="G168" t="s">
        <v>169</v>
      </c>
      <c r="H168" t="str">
        <f t="shared" si="7"/>
        <v>https://federallibrary.us/DOD/DODI/1338.18/CURRENT/TITLE.html</v>
      </c>
      <c r="I168" t="str">
        <f t="shared" si="8"/>
        <v>&lt;tr&gt; &lt;td&gt; &lt;a href=https://federallibrary.us/DOD/DODI/1338.18/CURRENT/TITLE.html&gt; DODI 1338.18&lt;/a&gt; &lt;/td&gt; &lt;td&gt; Armed Forces Clothing Monetary Allowance Procedures &lt;/td&gt; &lt;/tr&gt;</v>
      </c>
    </row>
    <row r="169" spans="1:9" x14ac:dyDescent="0.25">
      <c r="A169" t="s">
        <v>918</v>
      </c>
      <c r="B169" t="s">
        <v>875</v>
      </c>
      <c r="C169" t="str">
        <f t="shared" si="6"/>
        <v>1338.21</v>
      </c>
      <c r="D169" t="s">
        <v>1157</v>
      </c>
      <c r="E169" s="2">
        <v>42570</v>
      </c>
      <c r="G169" t="s">
        <v>170</v>
      </c>
      <c r="H169" t="str">
        <f t="shared" si="7"/>
        <v>https://federallibrary.us/DOD/DODI/1338.21/CURRENT/TITLE.html</v>
      </c>
      <c r="I169" t="str">
        <f t="shared" si="8"/>
        <v>&lt;tr&gt; &lt;td&gt; &lt;a href=https://federallibrary.us/DOD/DODI/1338.21/CURRENT/TITLE.html&gt; DODI 1338.21&lt;/a&gt; &lt;/td&gt; &lt;td&gt; Special Command Positions (SCPS) &lt;/td&gt; &lt;/tr&gt;</v>
      </c>
    </row>
    <row r="170" spans="1:9" x14ac:dyDescent="0.25">
      <c r="A170" t="s">
        <v>919</v>
      </c>
      <c r="B170" t="s">
        <v>862</v>
      </c>
      <c r="C170" t="str">
        <f t="shared" si="6"/>
        <v>1340.09</v>
      </c>
      <c r="D170" t="s">
        <v>1157</v>
      </c>
      <c r="E170" s="2">
        <v>45324</v>
      </c>
      <c r="G170" t="s">
        <v>171</v>
      </c>
      <c r="H170" t="str">
        <f t="shared" si="7"/>
        <v>https://federallibrary.us/DOD/DODI/1340.09/CURRENT/TITLE.html</v>
      </c>
      <c r="I170" t="str">
        <f t="shared" si="8"/>
        <v>&lt;tr&gt; &lt;td&gt; &lt;a href=https://federallibrary.us/DOD/DODI/1340.09/CURRENT/TITLE.html&gt; DODI 1340.09&lt;/a&gt; &lt;/td&gt; &lt;td&gt; Hazard Pay (HzP) Program &lt;/td&gt; &lt;/tr&gt;</v>
      </c>
    </row>
    <row r="171" spans="1:9" x14ac:dyDescent="0.25">
      <c r="A171" t="s">
        <v>919</v>
      </c>
      <c r="B171" t="s">
        <v>884</v>
      </c>
      <c r="C171" t="str">
        <f t="shared" si="6"/>
        <v>1340.18</v>
      </c>
      <c r="D171" t="s">
        <v>1157</v>
      </c>
      <c r="E171" s="2">
        <v>43941</v>
      </c>
      <c r="G171" t="s">
        <v>172</v>
      </c>
      <c r="H171" t="str">
        <f t="shared" si="7"/>
        <v>https://federallibrary.us/DOD/DODI/1340.18/CURRENT/TITLE.html</v>
      </c>
      <c r="I171" t="str">
        <f t="shared" si="8"/>
        <v>&lt;tr&gt; &lt;td&gt; &lt;a href=https://federallibrary.us/DOD/DODI/1340.18/CURRENT/TITLE.html&gt; DODI 1340.18&lt;/a&gt; &lt;/td&gt; &lt;td&gt; Advance Pay Incident to a Permanent Change of Station (PCS) for Members of the Uniformed Services &lt;/td&gt; &lt;/tr&gt;</v>
      </c>
    </row>
    <row r="172" spans="1:9" x14ac:dyDescent="0.25">
      <c r="A172" t="s">
        <v>919</v>
      </c>
      <c r="B172" t="s">
        <v>875</v>
      </c>
      <c r="C172" t="str">
        <f t="shared" si="6"/>
        <v>1340.21</v>
      </c>
      <c r="D172" t="s">
        <v>1157</v>
      </c>
      <c r="E172" s="2">
        <v>38119</v>
      </c>
      <c r="G172" t="s">
        <v>173</v>
      </c>
      <c r="H172" t="str">
        <f t="shared" si="7"/>
        <v>https://federallibrary.us/DOD/DODI/1340.21/CURRENT/TITLE.html</v>
      </c>
      <c r="I172" t="str">
        <f t="shared" si="8"/>
        <v>&lt;tr&gt; &lt;td&gt; &lt;a href=https://federallibrary.us/DOD/DODI/1340.21/CURRENT/TITLE.html&gt; DODI 1340.21&lt;/a&gt; &lt;/td&gt; &lt;td&gt; Procedures for Settling Personnel and General Claims and Processing Advance Decision Requests &lt;/td&gt; &lt;/tr&gt;</v>
      </c>
    </row>
    <row r="173" spans="1:9" x14ac:dyDescent="0.25">
      <c r="A173" t="s">
        <v>919</v>
      </c>
      <c r="B173" t="s">
        <v>877</v>
      </c>
      <c r="C173" t="str">
        <f t="shared" si="6"/>
        <v>1340.23</v>
      </c>
      <c r="D173" t="s">
        <v>1157</v>
      </c>
      <c r="E173" s="2">
        <v>38762</v>
      </c>
      <c r="G173" t="s">
        <v>174</v>
      </c>
      <c r="H173" t="str">
        <f t="shared" si="7"/>
        <v>https://federallibrary.us/DOD/DODI/1340.23/CURRENT/TITLE.html</v>
      </c>
      <c r="I173" t="str">
        <f t="shared" si="8"/>
        <v>&lt;tr&gt; &lt;td&gt; &lt;a href=https://federallibrary.us/DOD/DODI/1340.23/CURRENT/TITLE.html&gt; DODI 1340.23&lt;/a&gt; &lt;/td&gt; &lt;td&gt; Waiver Procedures for Debts Resulting from Erroneous Pay and Allowances &lt;/td&gt; &lt;/tr&gt;</v>
      </c>
    </row>
    <row r="174" spans="1:9" x14ac:dyDescent="0.25">
      <c r="A174" t="s">
        <v>919</v>
      </c>
      <c r="B174" t="s">
        <v>878</v>
      </c>
      <c r="C174" t="str">
        <f t="shared" si="6"/>
        <v>1340.24</v>
      </c>
      <c r="D174" t="s">
        <v>1157</v>
      </c>
      <c r="E174" s="2">
        <v>45092</v>
      </c>
      <c r="G174" t="s">
        <v>175</v>
      </c>
      <c r="H174" t="str">
        <f t="shared" si="7"/>
        <v>https://federallibrary.us/DOD/DODI/1340.24/CURRENT/TITLE.html</v>
      </c>
      <c r="I174" t="str">
        <f t="shared" si="8"/>
        <v>&lt;tr&gt; &lt;td&gt; &lt;a href=https://federallibrary.us/DOD/DODI/1340.24/CURRENT/TITLE.html&gt; DODI 1340.24&lt;/a&gt; &lt;/td&gt; &lt;td&gt; Family Separation Allowance &lt;/td&gt; &lt;/tr&gt;</v>
      </c>
    </row>
    <row r="175" spans="1:9" x14ac:dyDescent="0.25">
      <c r="A175" t="s">
        <v>919</v>
      </c>
      <c r="B175" t="s">
        <v>851</v>
      </c>
      <c r="C175" t="str">
        <f t="shared" si="6"/>
        <v>1340.25</v>
      </c>
      <c r="D175" t="s">
        <v>1157</v>
      </c>
      <c r="E175" s="2">
        <v>40449</v>
      </c>
      <c r="G175" t="s">
        <v>176</v>
      </c>
      <c r="H175" t="str">
        <f t="shared" si="7"/>
        <v>https://federallibrary.us/DOD/DODI/1340.25/CURRENT/TITLE.html</v>
      </c>
      <c r="I175" t="str">
        <f t="shared" si="8"/>
        <v>&lt;tr&gt; &lt;td&gt; &lt;a href=https://federallibrary.us/DOD/DODI/1340.25/CURRENT/TITLE.html&gt; DODI 1340.25&lt;/a&gt; &lt;/td&gt; &lt;td&gt; Combat Zone Tax Exclusion (CZTE) &lt;/td&gt; &lt;/tr&gt;</v>
      </c>
    </row>
    <row r="176" spans="1:9" x14ac:dyDescent="0.25">
      <c r="A176" t="s">
        <v>919</v>
      </c>
      <c r="B176" t="s">
        <v>894</v>
      </c>
      <c r="C176" t="str">
        <f t="shared" si="6"/>
        <v>1340.26</v>
      </c>
      <c r="D176" t="s">
        <v>1157</v>
      </c>
      <c r="E176" s="2">
        <v>43476</v>
      </c>
      <c r="G176" t="s">
        <v>177</v>
      </c>
      <c r="H176" t="str">
        <f t="shared" si="7"/>
        <v>https://federallibrary.us/DOD/DODI/1340.26/CURRENT/TITLE.html</v>
      </c>
      <c r="I176" t="str">
        <f t="shared" si="8"/>
        <v>&lt;tr&gt; &lt;td&gt; &lt;a href=https://federallibrary.us/DOD/DODI/1340.26/CURRENT/TITLE.html&gt; DODI 1340.26&lt;/a&gt; &lt;/td&gt; &lt;td&gt; Assignment and Special Duty Pays &lt;/td&gt; &lt;/tr&gt;</v>
      </c>
    </row>
    <row r="177" spans="1:9" x14ac:dyDescent="0.25">
      <c r="A177" t="s">
        <v>919</v>
      </c>
      <c r="B177" t="s">
        <v>852</v>
      </c>
      <c r="C177" t="str">
        <f t="shared" si="6"/>
        <v>1340.27</v>
      </c>
      <c r="D177" t="s">
        <v>1157</v>
      </c>
      <c r="E177" s="2">
        <v>44790</v>
      </c>
      <c r="G177" t="s">
        <v>178</v>
      </c>
      <c r="H177" t="str">
        <f t="shared" si="7"/>
        <v>https://federallibrary.us/DOD/DODI/1340.27/CURRENT/TITLE.html</v>
      </c>
      <c r="I177" t="str">
        <f t="shared" si="8"/>
        <v>&lt;tr&gt; &lt;td&gt; &lt;a href=https://federallibrary.us/DOD/DODI/1340.27/CURRENT/TITLE.html&gt; DODI 1340.27&lt;/a&gt; &lt;/td&gt; &lt;td&gt; Military Foreign Language Skill Proficiency Bonuses &lt;/td&gt; &lt;/tr&gt;</v>
      </c>
    </row>
    <row r="178" spans="1:9" x14ac:dyDescent="0.25">
      <c r="A178" t="s">
        <v>920</v>
      </c>
      <c r="B178" t="s">
        <v>870</v>
      </c>
      <c r="C178" t="str">
        <f t="shared" si="6"/>
        <v>1341.02</v>
      </c>
      <c r="D178" t="s">
        <v>1157</v>
      </c>
      <c r="E178" s="2">
        <v>42600</v>
      </c>
      <c r="G178" t="s">
        <v>179</v>
      </c>
      <c r="H178" t="str">
        <f t="shared" si="7"/>
        <v>https://federallibrary.us/DOD/DODI/1341.02/CURRENT/TITLE.html</v>
      </c>
      <c r="I178" t="str">
        <f t="shared" si="8"/>
        <v>&lt;tr&gt; &lt;td&gt; &lt;a href=https://federallibrary.us/DOD/DODI/1341.02/CURRENT/TITLE.html&gt; DODI 1341.02&lt;/a&gt; &lt;/td&gt; &lt;td&gt; Defense Enrollment Eligibility Reporting System (DEERS) Program and Procedures &lt;/td&gt; &lt;/tr&gt;</v>
      </c>
    </row>
    <row r="179" spans="1:9" x14ac:dyDescent="0.25">
      <c r="A179" t="s">
        <v>920</v>
      </c>
      <c r="B179" t="s">
        <v>858</v>
      </c>
      <c r="C179" t="str">
        <f t="shared" si="6"/>
        <v>1341.06</v>
      </c>
      <c r="D179" t="s">
        <v>1157</v>
      </c>
      <c r="E179" s="2">
        <v>39175</v>
      </c>
      <c r="G179" t="s">
        <v>180</v>
      </c>
      <c r="H179" t="str">
        <f t="shared" si="7"/>
        <v>https://federallibrary.us/DOD/DODI/1341.06/CURRENT/TITLE.html</v>
      </c>
      <c r="I179" t="str">
        <f t="shared" si="8"/>
        <v>&lt;tr&gt; &lt;td&gt; &lt;a href=https://federallibrary.us/DOD/DODI/1341.06/CURRENT/TITLE.html&gt; DODI 1341.06&lt;/a&gt; &lt;/td&gt; &lt;td&gt; Veterans Employment Assistance Program (VEAP) &lt;/td&gt; &lt;/tr&gt;</v>
      </c>
    </row>
    <row r="180" spans="1:9" x14ac:dyDescent="0.25">
      <c r="A180" t="s">
        <v>920</v>
      </c>
      <c r="B180" t="s">
        <v>865</v>
      </c>
      <c r="C180" t="str">
        <f t="shared" si="6"/>
        <v>1341.08</v>
      </c>
      <c r="D180" t="s">
        <v>1157</v>
      </c>
      <c r="E180" s="2">
        <v>44063</v>
      </c>
      <c r="G180" t="s">
        <v>181</v>
      </c>
      <c r="H180" t="str">
        <f t="shared" si="7"/>
        <v>https://federallibrary.us/DOD/DODI/1341.08/CURRENT/TITLE.html</v>
      </c>
      <c r="I180" t="str">
        <f t="shared" si="8"/>
        <v>&lt;tr&gt; &lt;td&gt; &lt;a href=https://federallibrary.us/DOD/DODI/1341.08/CURRENT/TITLE.html&gt; DODI 1341.08&lt;/a&gt; &lt;/td&gt; &lt;td&gt; Payment of Death Gratuity to Survivors of Certain DoD Personnel Assigned to Intelligence Duties &lt;/td&gt; &lt;/tr&gt;</v>
      </c>
    </row>
    <row r="181" spans="1:9" x14ac:dyDescent="0.25">
      <c r="A181" t="s">
        <v>920</v>
      </c>
      <c r="B181" t="s">
        <v>862</v>
      </c>
      <c r="C181" t="str">
        <f t="shared" si="6"/>
        <v>1341.09</v>
      </c>
      <c r="D181" t="s">
        <v>1157</v>
      </c>
      <c r="E181" s="2">
        <v>42556</v>
      </c>
      <c r="G181" t="s">
        <v>182</v>
      </c>
      <c r="H181" t="str">
        <f t="shared" si="7"/>
        <v>https://federallibrary.us/DOD/DODI/1341.09/CURRENT/TITLE.html</v>
      </c>
      <c r="I181" t="str">
        <f t="shared" si="8"/>
        <v>&lt;tr&gt; &lt;td&gt; &lt;a href=https://federallibrary.us/DOD/DODI/1341.09/CURRENT/TITLE.html&gt; DODI 1341.09&lt;/a&gt; &lt;/td&gt; &lt;td&gt; DoD Adoption Reimbursement Policy &lt;/td&gt; &lt;/tr&gt;</v>
      </c>
    </row>
    <row r="182" spans="1:9" x14ac:dyDescent="0.25">
      <c r="A182" t="s">
        <v>920</v>
      </c>
      <c r="B182" t="s">
        <v>847</v>
      </c>
      <c r="C182" t="str">
        <f t="shared" si="6"/>
        <v>1341.11</v>
      </c>
      <c r="D182" t="s">
        <v>1157</v>
      </c>
      <c r="E182" s="2">
        <v>39511</v>
      </c>
      <c r="G182" t="s">
        <v>183</v>
      </c>
      <c r="H182" t="str">
        <f t="shared" si="7"/>
        <v>https://federallibrary.us/DOD/DODI/1341.11/CURRENT/TITLE.html</v>
      </c>
      <c r="I182" t="str">
        <f t="shared" si="8"/>
        <v>&lt;tr&gt; &lt;td&gt; &lt;a href=https://federallibrary.us/DOD/DODI/1341.11/CURRENT/TITLE.html&gt; DODI 1341.11&lt;/a&gt; &lt;/td&gt; &lt;td&gt; Family Subsistence Supplemental Allowance (FSSA) Program &lt;/td&gt; &lt;/tr&gt;</v>
      </c>
    </row>
    <row r="183" spans="1:9" x14ac:dyDescent="0.25">
      <c r="A183" t="s">
        <v>920</v>
      </c>
      <c r="B183" t="s">
        <v>886</v>
      </c>
      <c r="C183" t="str">
        <f t="shared" si="6"/>
        <v>1341.12</v>
      </c>
      <c r="D183" t="s">
        <v>1157</v>
      </c>
      <c r="E183" s="2">
        <v>43769</v>
      </c>
      <c r="G183" t="s">
        <v>184</v>
      </c>
      <c r="H183" t="str">
        <f t="shared" si="7"/>
        <v>https://federallibrary.us/DOD/DODI/1341.12/CURRENT/TITLE.html</v>
      </c>
      <c r="I183" t="str">
        <f t="shared" si="8"/>
        <v>&lt;tr&gt; &lt;td&gt; &lt;a href=https://federallibrary.us/DOD/DODI/1341.12/CURRENT/TITLE.html&gt; DODI 1341.12&lt;/a&gt; &lt;/td&gt; &lt;td&gt; Special Compensation for Assistance with Activities of Daily Living (SCAADL) Program &lt;/td&gt; &lt;/tr&gt;</v>
      </c>
    </row>
    <row r="184" spans="1:9" x14ac:dyDescent="0.25">
      <c r="A184" t="s">
        <v>920</v>
      </c>
      <c r="B184" t="s">
        <v>848</v>
      </c>
      <c r="C184" t="str">
        <f t="shared" si="6"/>
        <v>1341.13</v>
      </c>
      <c r="D184" t="s">
        <v>1157</v>
      </c>
      <c r="E184" s="2">
        <v>45238</v>
      </c>
      <c r="G184" t="s">
        <v>185</v>
      </c>
      <c r="H184" t="str">
        <f t="shared" si="7"/>
        <v>https://federallibrary.us/DOD/DODI/1341.13/CURRENT/TITLE.html</v>
      </c>
      <c r="I184" t="str">
        <f t="shared" si="8"/>
        <v>&lt;tr&gt; &lt;td&gt; &lt;a href=https://federallibrary.us/DOD/DODI/1341.13/CURRENT/TITLE.html&gt; DODI 1341.13&lt;/a&gt; &lt;/td&gt; &lt;td&gt; Post-9/11 GI Bill &lt;/td&gt; &lt;/tr&gt;</v>
      </c>
    </row>
    <row r="185" spans="1:9" x14ac:dyDescent="0.25">
      <c r="A185" t="s">
        <v>920</v>
      </c>
      <c r="B185" t="s">
        <v>859</v>
      </c>
      <c r="C185" t="str">
        <f t="shared" si="6"/>
        <v>1341.14</v>
      </c>
      <c r="D185" t="s">
        <v>1157</v>
      </c>
      <c r="E185" s="2">
        <v>42754</v>
      </c>
      <c r="G185" t="s">
        <v>186</v>
      </c>
      <c r="H185" t="str">
        <f t="shared" si="7"/>
        <v>https://federallibrary.us/DOD/DODI/1341.14/CURRENT/TITLE.html</v>
      </c>
      <c r="I185" t="str">
        <f t="shared" si="8"/>
        <v>&lt;tr&gt; &lt;td&gt; &lt;a href=https://federallibrary.us/DOD/DODI/1341.14/CURRENT/TITLE.html&gt; DODI 1341.14&lt;/a&gt; &lt;/td&gt; &lt;td&gt; Servicemembers' Group Life Insurance (SGLI) On-Line Enrollment System (SOES) &lt;/td&gt; &lt;/tr&gt;</v>
      </c>
    </row>
    <row r="186" spans="1:9" x14ac:dyDescent="0.25">
      <c r="A186" t="s">
        <v>920</v>
      </c>
      <c r="B186" t="s">
        <v>849</v>
      </c>
      <c r="C186" t="str">
        <f t="shared" si="6"/>
        <v>1341.15</v>
      </c>
      <c r="D186" t="s">
        <v>1157</v>
      </c>
      <c r="E186" s="2">
        <v>45415</v>
      </c>
      <c r="G186" t="s">
        <v>187</v>
      </c>
      <c r="H186" t="str">
        <f t="shared" si="7"/>
        <v>https://federallibrary.us/DOD/DODI/1341.15/CURRENT/TITLE.html</v>
      </c>
      <c r="I186" t="str">
        <f t="shared" si="8"/>
        <v>&lt;tr&gt; &lt;td&gt; &lt;a href=https://federallibrary.us/DOD/DODI/1341.15/CURRENT/TITLE.html&gt; DODI 1341.15&lt;/a&gt; &lt;/td&gt; &lt;td&gt; Basic Needs Allowance &lt;/td&gt; &lt;/tr&gt;</v>
      </c>
    </row>
    <row r="187" spans="1:9" x14ac:dyDescent="0.25">
      <c r="A187" t="s">
        <v>921</v>
      </c>
      <c r="B187" t="s">
        <v>886</v>
      </c>
      <c r="C187" t="str">
        <f t="shared" si="6"/>
        <v>1342.12</v>
      </c>
      <c r="D187" t="s">
        <v>1157</v>
      </c>
      <c r="E187" s="2">
        <v>42172</v>
      </c>
      <c r="G187" t="s">
        <v>188</v>
      </c>
      <c r="H187" t="str">
        <f t="shared" si="7"/>
        <v>https://federallibrary.us/DOD/DODI/1342.12/CURRENT/TITLE.html</v>
      </c>
      <c r="I187" t="str">
        <f t="shared" si="8"/>
        <v>&lt;tr&gt; &lt;td&gt; &lt;a href=https://federallibrary.us/DOD/DODI/1342.12/CURRENT/TITLE.html&gt; DODI 1342.12&lt;/a&gt; &lt;/td&gt; &lt;td&gt; Provision of Early Intervention and Special Education Services to Eligible DoD Dependents &lt;/td&gt; &lt;/tr&gt;</v>
      </c>
    </row>
    <row r="188" spans="1:9" x14ac:dyDescent="0.25">
      <c r="A188" t="s">
        <v>921</v>
      </c>
      <c r="B188" t="s">
        <v>849</v>
      </c>
      <c r="C188" t="str">
        <f t="shared" si="6"/>
        <v>1342.15</v>
      </c>
      <c r="D188" t="s">
        <v>1157</v>
      </c>
      <c r="E188" s="2">
        <v>43941</v>
      </c>
      <c r="G188" t="s">
        <v>189</v>
      </c>
      <c r="H188" t="str">
        <f t="shared" si="7"/>
        <v>https://federallibrary.us/DOD/DODI/1342.15/CURRENT/TITLE.html</v>
      </c>
      <c r="I188" t="str">
        <f t="shared" si="8"/>
        <v>&lt;tr&gt; &lt;td&gt; &lt;a href=https://federallibrary.us/DOD/DODI/1342.15/CURRENT/TITLE.html&gt; DODI 1342.15&lt;/a&gt; &lt;/td&gt; &lt;td&gt; Educational Advisory Committees and Councils &lt;/td&gt; &lt;/tr&gt;</v>
      </c>
    </row>
    <row r="189" spans="1:9" x14ac:dyDescent="0.25">
      <c r="A189" t="s">
        <v>921</v>
      </c>
      <c r="B189" t="s">
        <v>893</v>
      </c>
      <c r="C189" t="str">
        <f t="shared" si="6"/>
        <v>1342.19</v>
      </c>
      <c r="D189" t="s">
        <v>1157</v>
      </c>
      <c r="E189" s="2">
        <v>43069</v>
      </c>
      <c r="G189" t="s">
        <v>190</v>
      </c>
      <c r="H189" t="str">
        <f t="shared" si="7"/>
        <v>https://federallibrary.us/DOD/DODI/1342.19/CURRENT/TITLE.html</v>
      </c>
      <c r="I189" t="str">
        <f t="shared" si="8"/>
        <v>&lt;tr&gt; &lt;td&gt; &lt;a href=https://federallibrary.us/DOD/DODI/1342.19/CURRENT/TITLE.html&gt; DODI 1342.19&lt;/a&gt; &lt;/td&gt; &lt;td&gt; Family Care Plans &lt;/td&gt; &lt;/tr&gt;</v>
      </c>
    </row>
    <row r="190" spans="1:9" x14ac:dyDescent="0.25">
      <c r="A190" t="s">
        <v>921</v>
      </c>
      <c r="B190" t="s">
        <v>876</v>
      </c>
      <c r="C190" t="str">
        <f t="shared" si="6"/>
        <v>1342.22</v>
      </c>
      <c r="D190" t="s">
        <v>1157</v>
      </c>
      <c r="E190" s="2">
        <v>44413</v>
      </c>
      <c r="G190" t="s">
        <v>191</v>
      </c>
      <c r="H190" t="str">
        <f t="shared" si="7"/>
        <v>https://federallibrary.us/DOD/DODI/1342.22/CURRENT/TITLE.html</v>
      </c>
      <c r="I190" t="str">
        <f t="shared" si="8"/>
        <v>&lt;tr&gt; &lt;td&gt; &lt;a href=https://federallibrary.us/DOD/DODI/1342.22/CURRENT/TITLE.html&gt; DODI 1342.22&lt;/a&gt; &lt;/td&gt; &lt;td&gt; Military Family Readiness &lt;/td&gt; &lt;/tr&gt;</v>
      </c>
    </row>
    <row r="191" spans="1:9" x14ac:dyDescent="0.25">
      <c r="A191" t="s">
        <v>921</v>
      </c>
      <c r="B191" t="s">
        <v>878</v>
      </c>
      <c r="C191" t="str">
        <f t="shared" si="6"/>
        <v>1342.24</v>
      </c>
      <c r="D191" t="s">
        <v>1157</v>
      </c>
      <c r="E191" s="2">
        <v>43731</v>
      </c>
      <c r="G191" t="s">
        <v>192</v>
      </c>
      <c r="H191" t="str">
        <f t="shared" si="7"/>
        <v>https://federallibrary.us/DOD/DODI/1342.24/CURRENT/TITLE.html</v>
      </c>
      <c r="I191" t="str">
        <f t="shared" si="8"/>
        <v>&lt;tr&gt; &lt;td&gt; &lt;a href=https://federallibrary.us/DOD/DODI/1342.24/CURRENT/TITLE.html&gt; DODI 1342.24&lt;/a&gt; &lt;/td&gt; &lt;td&gt; Transitional Compensation (TC) for Abused Dependents &lt;/td&gt; &lt;/tr&gt;</v>
      </c>
    </row>
    <row r="192" spans="1:9" x14ac:dyDescent="0.25">
      <c r="A192" t="s">
        <v>921</v>
      </c>
      <c r="B192" t="s">
        <v>851</v>
      </c>
      <c r="C192" t="str">
        <f t="shared" si="6"/>
        <v>1342.25</v>
      </c>
      <c r="D192" t="s">
        <v>1157</v>
      </c>
      <c r="E192" s="2">
        <v>35368</v>
      </c>
      <c r="G192" t="s">
        <v>193</v>
      </c>
      <c r="H192" t="str">
        <f t="shared" si="7"/>
        <v>https://federallibrary.us/DOD/DODI/1342.25/CURRENT/TITLE.html</v>
      </c>
      <c r="I192" t="str">
        <f t="shared" si="8"/>
        <v>&lt;tr&gt; &lt;td&gt; &lt;a href=https://federallibrary.us/DOD/DODI/1342.25/CURRENT/TITLE.html&gt; DODI 1342.25&lt;/a&gt; &lt;/td&gt; &lt;td&gt; School Boards for Department of Defense Domestic Dependent Elementary and Secondary Schools (DDESS) &lt;/td&gt; &lt;/tr&gt;</v>
      </c>
    </row>
    <row r="193" spans="1:9" x14ac:dyDescent="0.25">
      <c r="A193" t="s">
        <v>921</v>
      </c>
      <c r="B193" t="s">
        <v>894</v>
      </c>
      <c r="C193" t="str">
        <f t="shared" si="6"/>
        <v>1342.26</v>
      </c>
      <c r="D193" t="s">
        <v>1157</v>
      </c>
      <c r="E193" s="2">
        <v>35493</v>
      </c>
      <c r="G193" t="s">
        <v>194</v>
      </c>
      <c r="H193" t="str">
        <f t="shared" si="7"/>
        <v>https://federallibrary.us/DOD/DODI/1342.26/CURRENT/TITLE.html</v>
      </c>
      <c r="I193" t="str">
        <f t="shared" si="8"/>
        <v>&lt;tr&gt; &lt;td&gt; &lt;a href=https://federallibrary.us/DOD/DODI/1342.26/CURRENT/TITLE.html&gt; DODI 1342.26&lt;/a&gt; &lt;/td&gt; &lt;td&gt; Eligibility Requirements for Minor Dependents to Attend Department of Defense Domestic Dependent Elementary and Secondary Schools (DDESS) &lt;/td&gt; &lt;/tr&gt;</v>
      </c>
    </row>
    <row r="194" spans="1:9" x14ac:dyDescent="0.25">
      <c r="A194" t="s">
        <v>921</v>
      </c>
      <c r="B194" t="s">
        <v>853</v>
      </c>
      <c r="C194" t="str">
        <f t="shared" si="6"/>
        <v>1342.28</v>
      </c>
      <c r="D194" t="s">
        <v>1157</v>
      </c>
      <c r="E194" s="2">
        <v>43521</v>
      </c>
      <c r="G194" t="s">
        <v>195</v>
      </c>
      <c r="H194" t="str">
        <f t="shared" si="7"/>
        <v>https://federallibrary.us/DOD/DODI/1342.28/CURRENT/TITLE.html</v>
      </c>
      <c r="I194" t="str">
        <f t="shared" si="8"/>
        <v>&lt;tr&gt; &lt;td&gt; &lt;a href=https://federallibrary.us/DOD/DODI/1342.28/CURRENT/TITLE.html&gt; DODI 1342.28&lt;/a&gt; &lt;/td&gt; &lt;td&gt; DoD Yellow Ribbon Reintegration Program (YRRP) &lt;/td&gt; &lt;/tr&gt;</v>
      </c>
    </row>
    <row r="195" spans="1:9" x14ac:dyDescent="0.25">
      <c r="A195" t="s">
        <v>921</v>
      </c>
      <c r="B195" t="s">
        <v>895</v>
      </c>
      <c r="C195" t="str">
        <f t="shared" ref="C195:C258" si="9">_xlfn.CONCAT(A195,".",B195)</f>
        <v>1342.29</v>
      </c>
      <c r="D195" t="s">
        <v>1157</v>
      </c>
      <c r="E195" s="2">
        <v>42766</v>
      </c>
      <c r="G195" t="s">
        <v>196</v>
      </c>
      <c r="H195" t="str">
        <f t="shared" ref="H195:H258" si="10">IF(D195="CURRENT",_xlfn.CONCAT("https://federallibrary.us/DOD/DODI/",C195,"/CURRENT/TITLE.html"),"")</f>
        <v>https://federallibrary.us/DOD/DODI/1342.29/CURRENT/TITLE.html</v>
      </c>
      <c r="I195" t="str">
        <f t="shared" ref="I195:I258" si="11">IF(D195="CURRENT",_xlfn.CONCAT("&lt;tr&gt; &lt;td&gt; &lt;a href=",H195,"&gt; DODI ",C195, "&lt;/a&gt; &lt;/td&gt; &lt;td&gt; ", G195, " &lt;/td&gt; &lt;/tr&gt;"),"")</f>
        <v>&lt;tr&gt; &lt;td&gt; &lt;a href=https://federallibrary.us/DOD/DODI/1342.29/CURRENT/TITLE.html&gt; DODI 1342.29&lt;/a&gt; &lt;/td&gt; &lt;td&gt; Interstate Compact on Educational Opportunity for Military Children &lt;/td&gt; &lt;/tr&gt;</v>
      </c>
    </row>
    <row r="196" spans="1:9" x14ac:dyDescent="0.25">
      <c r="A196" t="s">
        <v>922</v>
      </c>
      <c r="B196" t="s">
        <v>871</v>
      </c>
      <c r="C196" t="str">
        <f t="shared" si="9"/>
        <v>1344.07</v>
      </c>
      <c r="D196" t="s">
        <v>1157</v>
      </c>
      <c r="E196" s="2">
        <v>38806</v>
      </c>
      <c r="G196" t="s">
        <v>197</v>
      </c>
      <c r="H196" t="str">
        <f t="shared" si="10"/>
        <v>https://federallibrary.us/DOD/DODI/1344.07/CURRENT/TITLE.html</v>
      </c>
      <c r="I196" t="str">
        <f t="shared" si="11"/>
        <v>&lt;tr&gt; &lt;td&gt; &lt;a href=https://federallibrary.us/DOD/DODI/1344.07/CURRENT/TITLE.html&gt; DODI 1344.07&lt;/a&gt; &lt;/td&gt; &lt;td&gt; Personal Commercial Solicitation on DoD Installations &lt;/td&gt; &lt;/tr&gt;</v>
      </c>
    </row>
    <row r="197" spans="1:9" x14ac:dyDescent="0.25">
      <c r="A197" t="s">
        <v>922</v>
      </c>
      <c r="B197" t="s">
        <v>865</v>
      </c>
      <c r="C197" t="str">
        <f t="shared" si="9"/>
        <v>1344.08</v>
      </c>
      <c r="D197" t="s">
        <v>1157</v>
      </c>
      <c r="E197" s="2">
        <v>43915</v>
      </c>
      <c r="G197" t="s">
        <v>198</v>
      </c>
      <c r="H197" t="str">
        <f t="shared" si="10"/>
        <v>https://federallibrary.us/DOD/DODI/1344.08/CURRENT/TITLE.html</v>
      </c>
      <c r="I197" t="str">
        <f t="shared" si="11"/>
        <v>&lt;tr&gt; &lt;td&gt; &lt;a href=https://federallibrary.us/DOD/DODI/1344.08/CURRENT/TITLE.html&gt; DODI 1344.08&lt;/a&gt; &lt;/td&gt; &lt;td&gt; Interment Allowance for Deceased Military Personnel &lt;/td&gt; &lt;/tr&gt;</v>
      </c>
    </row>
    <row r="198" spans="1:9" x14ac:dyDescent="0.25">
      <c r="A198" t="s">
        <v>922</v>
      </c>
      <c r="B198" t="s">
        <v>862</v>
      </c>
      <c r="C198" t="str">
        <f t="shared" si="9"/>
        <v>1344.09</v>
      </c>
      <c r="D198" t="s">
        <v>1157</v>
      </c>
      <c r="E198" s="2">
        <v>44593</v>
      </c>
      <c r="G198" t="s">
        <v>199</v>
      </c>
      <c r="H198" t="str">
        <f t="shared" si="10"/>
        <v>https://federallibrary.us/DOD/DODI/1344.09/CURRENT/TITLE.html</v>
      </c>
      <c r="I198" t="str">
        <f t="shared" si="11"/>
        <v>&lt;tr&gt; &lt;td&gt; &lt;a href=https://federallibrary.us/DOD/DODI/1344.09/CURRENT/TITLE.html&gt; DODI 1344.09&lt;/a&gt; &lt;/td&gt; &lt;td&gt; Indebtedness of Military Personnel &lt;/td&gt; &lt;/tr&gt;</v>
      </c>
    </row>
    <row r="199" spans="1:9" x14ac:dyDescent="0.25">
      <c r="A199" t="s">
        <v>923</v>
      </c>
      <c r="B199" t="s">
        <v>893</v>
      </c>
      <c r="C199" t="str">
        <f t="shared" si="9"/>
        <v>1348.19</v>
      </c>
      <c r="D199" t="s">
        <v>1157</v>
      </c>
      <c r="E199" s="2">
        <v>43956</v>
      </c>
      <c r="G199" t="s">
        <v>200</v>
      </c>
      <c r="H199" t="str">
        <f t="shared" si="10"/>
        <v>https://federallibrary.us/DOD/DODI/1348.19/CURRENT/TITLE.html</v>
      </c>
      <c r="I199" t="str">
        <f t="shared" si="11"/>
        <v>&lt;tr&gt; &lt;td&gt; &lt;a href=https://federallibrary.us/DOD/DODI/1348.19/CURRENT/TITLE.html&gt; DODI 1348.19&lt;/a&gt; &lt;/td&gt; &lt;td&gt; Award of Medals, Trophies, Badges, and Similar Honors in Recognition of Accomplishments &lt;/td&gt; &lt;/tr&gt;</v>
      </c>
    </row>
    <row r="200" spans="1:9" x14ac:dyDescent="0.25">
      <c r="A200" t="s">
        <v>923</v>
      </c>
      <c r="B200" t="s">
        <v>854</v>
      </c>
      <c r="C200" t="str">
        <f t="shared" si="9"/>
        <v>1348.30</v>
      </c>
      <c r="D200" t="s">
        <v>1157</v>
      </c>
      <c r="E200" s="2">
        <v>43563</v>
      </c>
      <c r="G200" t="s">
        <v>201</v>
      </c>
      <c r="H200" t="str">
        <f t="shared" si="10"/>
        <v>https://federallibrary.us/DOD/DODI/1348.30/CURRENT/TITLE.html</v>
      </c>
      <c r="I200" t="str">
        <f t="shared" si="11"/>
        <v>&lt;tr&gt; &lt;td&gt; &lt;a href=https://federallibrary.us/DOD/DODI/1348.30/CURRENT/TITLE.html&gt; DODI 1348.30&lt;/a&gt; &lt;/td&gt; &lt;td&gt; Secretary of Defense Maintenance Awards &lt;/td&gt; &lt;/tr&gt;</v>
      </c>
    </row>
    <row r="201" spans="1:9" x14ac:dyDescent="0.25">
      <c r="A201" t="s">
        <v>923</v>
      </c>
      <c r="B201" t="s">
        <v>897</v>
      </c>
      <c r="C201" t="str">
        <f t="shared" si="9"/>
        <v>1348.33</v>
      </c>
      <c r="D201" t="s">
        <v>1157</v>
      </c>
      <c r="E201" s="2">
        <v>44295</v>
      </c>
      <c r="G201" t="s">
        <v>202</v>
      </c>
      <c r="H201" t="str">
        <f t="shared" si="10"/>
        <v>https://federallibrary.us/DOD/DODI/1348.33/CURRENT/TITLE.html</v>
      </c>
      <c r="I201" t="str">
        <f t="shared" si="11"/>
        <v>&lt;tr&gt; &lt;td&gt; &lt;a href=https://federallibrary.us/DOD/DODI/1348.33/CURRENT/TITLE.html&gt; DODI 1348.33&lt;/a&gt; &lt;/td&gt; &lt;td&gt; DoD Military Decorations and Awards Program &lt;/td&gt; &lt;/tr&gt;</v>
      </c>
    </row>
    <row r="202" spans="1:9" x14ac:dyDescent="0.25">
      <c r="A202" t="s">
        <v>923</v>
      </c>
      <c r="B202" t="s">
        <v>898</v>
      </c>
      <c r="C202" t="str">
        <f t="shared" si="9"/>
        <v>1348.34</v>
      </c>
      <c r="D202" t="s">
        <v>1157</v>
      </c>
      <c r="E202" s="2">
        <v>44790</v>
      </c>
      <c r="G202" t="s">
        <v>203</v>
      </c>
      <c r="H202" t="str">
        <f t="shared" si="10"/>
        <v>https://federallibrary.us/DOD/DODI/1348.34/CURRENT/TITLE.html</v>
      </c>
      <c r="I202" t="str">
        <f t="shared" si="11"/>
        <v>&lt;tr&gt; &lt;td&gt; &lt;a href=https://federallibrary.us/DOD/DODI/1348.34/CURRENT/TITLE.html&gt; DODI 1348.34&lt;/a&gt; &lt;/td&gt; &lt;td&gt; Presidential Recognition Upon Retirement from Military Service &lt;/td&gt; &lt;/tr&gt;</v>
      </c>
    </row>
    <row r="203" spans="1:9" x14ac:dyDescent="0.25">
      <c r="A203" t="s">
        <v>923</v>
      </c>
      <c r="B203" t="s">
        <v>899</v>
      </c>
      <c r="C203" t="str">
        <f t="shared" si="9"/>
        <v>1348.35</v>
      </c>
      <c r="D203" t="s">
        <v>1157</v>
      </c>
      <c r="E203" s="2">
        <v>44952</v>
      </c>
      <c r="G203" t="s">
        <v>204</v>
      </c>
      <c r="H203" t="str">
        <f t="shared" si="10"/>
        <v>https://federallibrary.us/DOD/DODI/1348.35/CURRENT/TITLE.html</v>
      </c>
      <c r="I203" t="str">
        <f t="shared" si="11"/>
        <v>&lt;tr&gt; &lt;td&gt; &lt;a href=https://federallibrary.us/DOD/DODI/1348.35/CURRENT/TITLE.html&gt; DODI 1348.35&lt;/a&gt; &lt;/td&gt; &lt;td&gt; OSD Identification Badge Program &lt;/td&gt; &lt;/tr&gt;</v>
      </c>
    </row>
    <row r="204" spans="1:9" x14ac:dyDescent="0.25">
      <c r="A204" t="s">
        <v>923</v>
      </c>
      <c r="B204" t="s">
        <v>900</v>
      </c>
      <c r="C204" t="str">
        <f t="shared" si="9"/>
        <v>1348.36</v>
      </c>
      <c r="D204" t="s">
        <v>1157</v>
      </c>
      <c r="E204" s="2">
        <v>44099</v>
      </c>
      <c r="G204" t="s">
        <v>205</v>
      </c>
      <c r="H204" t="str">
        <f t="shared" si="10"/>
        <v>https://federallibrary.us/DOD/DODI/1348.36/CURRENT/TITLE.html</v>
      </c>
      <c r="I204" t="str">
        <f t="shared" si="11"/>
        <v>&lt;tr&gt; &lt;td&gt; &lt;a href=https://federallibrary.us/DOD/DODI/1348.36/CURRENT/TITLE.html&gt; DODI 1348.36&lt;/a&gt; &lt;/td&gt; &lt;td&gt; Gold Star Lapel Button, Service Flag, and Service Lapel Button &lt;/td&gt; &lt;/tr&gt;</v>
      </c>
    </row>
    <row r="205" spans="1:9" x14ac:dyDescent="0.25">
      <c r="A205" t="s">
        <v>924</v>
      </c>
      <c r="B205" t="s">
        <v>870</v>
      </c>
      <c r="C205" t="str">
        <f t="shared" si="9"/>
        <v>1350.02</v>
      </c>
      <c r="D205" t="s">
        <v>1157</v>
      </c>
      <c r="E205" s="2">
        <v>44915</v>
      </c>
      <c r="G205" t="s">
        <v>206</v>
      </c>
      <c r="H205" t="str">
        <f t="shared" si="10"/>
        <v>https://federallibrary.us/DOD/DODI/1350.02/CURRENT/TITLE.html</v>
      </c>
      <c r="I205" t="str">
        <f t="shared" si="11"/>
        <v>&lt;tr&gt; &lt;td&gt; &lt;a href=https://federallibrary.us/DOD/DODI/1350.02/CURRENT/TITLE.html&gt; DODI 1350.02&lt;/a&gt; &lt;/td&gt; &lt;td&gt; DoD Military Equal Opportunity Program &lt;/td&gt; &lt;/tr&gt;</v>
      </c>
    </row>
    <row r="206" spans="1:9" x14ac:dyDescent="0.25">
      <c r="A206" t="s">
        <v>924</v>
      </c>
      <c r="B206" t="s">
        <v>867</v>
      </c>
      <c r="C206" t="str">
        <f t="shared" si="9"/>
        <v>1350.03</v>
      </c>
      <c r="D206" t="s">
        <v>1157</v>
      </c>
      <c r="E206" s="2">
        <v>32202</v>
      </c>
      <c r="G206" t="s">
        <v>207</v>
      </c>
      <c r="H206" t="str">
        <f t="shared" si="10"/>
        <v>https://federallibrary.us/DOD/DODI/1350.03/CURRENT/TITLE.html</v>
      </c>
      <c r="I206" t="str">
        <f t="shared" si="11"/>
        <v>&lt;tr&gt; &lt;td&gt; &lt;a href=https://federallibrary.us/DOD/DODI/1350.03/CURRENT/TITLE.html&gt; DODI 1350.03&lt;/a&gt; &lt;/td&gt; &lt;td&gt; Affirmative Action Planning and Assessment Process &lt;/td&gt; &lt;/tr&gt;</v>
      </c>
    </row>
    <row r="207" spans="1:9" x14ac:dyDescent="0.25">
      <c r="A207" t="s">
        <v>924</v>
      </c>
      <c r="B207" t="s">
        <v>846</v>
      </c>
      <c r="C207" t="str">
        <f t="shared" si="9"/>
        <v>1350.04</v>
      </c>
      <c r="D207" t="s">
        <v>1157</v>
      </c>
      <c r="E207" s="2">
        <v>44595</v>
      </c>
      <c r="G207" t="s">
        <v>208</v>
      </c>
      <c r="H207" t="str">
        <f t="shared" si="10"/>
        <v>https://federallibrary.us/DOD/DODI/1350.04/CURRENT/TITLE.html</v>
      </c>
      <c r="I207" t="str">
        <f t="shared" si="11"/>
        <v>&lt;tr&gt; &lt;td&gt; &lt;a href=https://federallibrary.us/DOD/DODI/1350.04/CURRENT/TITLE.html&gt; DODI 1350.04&lt;/a&gt; &lt;/td&gt; &lt;td&gt; Legal Assistance Matters &lt;/td&gt; &lt;/tr&gt;</v>
      </c>
    </row>
    <row r="208" spans="1:9" x14ac:dyDescent="0.25">
      <c r="A208" t="s">
        <v>925</v>
      </c>
      <c r="B208" t="s">
        <v>845</v>
      </c>
      <c r="C208" t="str">
        <f t="shared" si="9"/>
        <v>1352.01</v>
      </c>
      <c r="D208" t="s">
        <v>1157</v>
      </c>
      <c r="E208" s="2">
        <v>42712</v>
      </c>
      <c r="G208" t="s">
        <v>209</v>
      </c>
      <c r="H208" t="str">
        <f t="shared" si="10"/>
        <v>https://federallibrary.us/DOD/DODI/1352.01/CURRENT/TITLE.html</v>
      </c>
      <c r="I208" t="str">
        <f t="shared" si="11"/>
        <v>&lt;tr&gt; &lt;td&gt; &lt;a href=https://federallibrary.us/DOD/DODI/1352.01/CURRENT/TITLE.html&gt; DODI 1352.01&lt;/a&gt; &lt;/td&gt; &lt;td&gt; Management of Regular and Reserve Retired Military Members &lt;/td&gt; &lt;/tr&gt;</v>
      </c>
    </row>
    <row r="209" spans="1:9" x14ac:dyDescent="0.25">
      <c r="A209" t="s">
        <v>926</v>
      </c>
      <c r="B209" t="s">
        <v>845</v>
      </c>
      <c r="C209" t="str">
        <f t="shared" si="9"/>
        <v>1354.01</v>
      </c>
      <c r="D209" t="s">
        <v>1157</v>
      </c>
      <c r="E209" s="2">
        <v>44328</v>
      </c>
      <c r="G209" t="s">
        <v>210</v>
      </c>
      <c r="H209" t="str">
        <f t="shared" si="10"/>
        <v>https://federallibrary.us/DOD/DODI/1354.01/CURRENT/TITLE.html</v>
      </c>
      <c r="I209" t="str">
        <f t="shared" si="11"/>
        <v>&lt;tr&gt; &lt;td&gt; &lt;a href=https://federallibrary.us/DOD/DODI/1354.01/CURRENT/TITLE.html&gt; DODI 1354.01&lt;/a&gt; &lt;/td&gt; &lt;td&gt; Policy on Organizations that Seek to Represent or Organize Service Members in Negotiation or Collective Bargaining &lt;/td&gt; &lt;/tr&gt;</v>
      </c>
    </row>
    <row r="210" spans="1:9" x14ac:dyDescent="0.25">
      <c r="A210" t="s">
        <v>927</v>
      </c>
      <c r="B210" t="s">
        <v>878</v>
      </c>
      <c r="C210" t="str">
        <f t="shared" si="9"/>
        <v>1400.24</v>
      </c>
      <c r="D210" t="s">
        <v>1157</v>
      </c>
      <c r="E210" s="2">
        <v>38765</v>
      </c>
      <c r="G210" t="s">
        <v>211</v>
      </c>
      <c r="H210" t="str">
        <f t="shared" si="10"/>
        <v>https://federallibrary.us/DOD/DODI/1400.24/CURRENT/TITLE.html</v>
      </c>
      <c r="I210" t="str">
        <f t="shared" si="11"/>
        <v>&lt;tr&gt; &lt;td&gt; &lt;a href=https://federallibrary.us/DOD/DODI/1400.24/CURRENT/TITLE.html&gt; DODI 1400.24&lt;/a&gt; &lt;/td&gt; &lt;td&gt; Civilian Mobility Program &lt;/td&gt; &lt;/tr&gt;</v>
      </c>
    </row>
    <row r="211" spans="1:9" x14ac:dyDescent="0.25">
      <c r="A211" t="s">
        <v>927</v>
      </c>
      <c r="B211" t="s">
        <v>851</v>
      </c>
      <c r="C211" t="str">
        <f t="shared" si="9"/>
        <v>1400.25</v>
      </c>
      <c r="D211" t="s">
        <v>1157</v>
      </c>
      <c r="E211" s="2">
        <v>0</v>
      </c>
      <c r="G211" t="s">
        <v>0</v>
      </c>
      <c r="H211" t="str">
        <f t="shared" si="10"/>
        <v>https://federallibrary.us/DOD/DODI/1400.25/CURRENT/TITLE.html</v>
      </c>
      <c r="I211" t="str">
        <f t="shared" si="11"/>
        <v>&lt;tr&gt; &lt;td&gt; &lt;a href=https://federallibrary.us/DOD/DODI/1400.25/CURRENT/TITLE.html&gt; DODI 1400.25&lt;/a&gt; &lt;/td&gt; &lt;td&gt; DoD Civilian Personnel Management System &lt;/td&gt; &lt;/tr&gt;</v>
      </c>
    </row>
    <row r="212" spans="1:9" x14ac:dyDescent="0.25">
      <c r="A212" t="s">
        <v>927</v>
      </c>
      <c r="B212" t="s">
        <v>900</v>
      </c>
      <c r="C212" t="str">
        <f t="shared" si="9"/>
        <v>1400.36</v>
      </c>
      <c r="D212" t="s">
        <v>1157</v>
      </c>
      <c r="E212" s="2">
        <v>44109</v>
      </c>
      <c r="G212" t="s">
        <v>212</v>
      </c>
      <c r="H212" t="str">
        <f t="shared" si="10"/>
        <v>https://federallibrary.us/DOD/DODI/1400.36/CURRENT/TITLE.html</v>
      </c>
      <c r="I212" t="str">
        <f t="shared" si="11"/>
        <v>&lt;tr&gt; &lt;td&gt; &lt;a href=https://federallibrary.us/DOD/DODI/1400.36/CURRENT/TITLE.html&gt; DODI 1400.36&lt;/a&gt; &lt;/td&gt; &lt;td&gt; DoD Implementation of the Joint Intelligence Community Duty Assignment (JDA) Program &lt;/td&gt; &lt;/tr&gt;</v>
      </c>
    </row>
    <row r="213" spans="1:9" x14ac:dyDescent="0.25">
      <c r="A213" t="s">
        <v>928</v>
      </c>
      <c r="B213" t="s">
        <v>845</v>
      </c>
      <c r="C213" t="str">
        <f t="shared" si="9"/>
        <v>1402.01</v>
      </c>
      <c r="D213" t="s">
        <v>1157</v>
      </c>
      <c r="E213" s="2">
        <v>39334</v>
      </c>
      <c r="G213" t="s">
        <v>213</v>
      </c>
      <c r="H213" t="str">
        <f t="shared" si="10"/>
        <v>https://federallibrary.us/DOD/DODI/1402.01/CURRENT/TITLE.html</v>
      </c>
      <c r="I213" t="str">
        <f t="shared" si="11"/>
        <v>&lt;tr&gt; &lt;td&gt; &lt;a href=https://federallibrary.us/DOD/DODI/1402.01/CURRENT/TITLE.html&gt; DODI 1402.01&lt;/a&gt; &lt;/td&gt; &lt;td&gt; Employment of Retired Members of the Armed Forces &lt;/td&gt; &lt;/tr&gt;</v>
      </c>
    </row>
    <row r="214" spans="1:9" x14ac:dyDescent="0.25">
      <c r="A214" t="s">
        <v>928</v>
      </c>
      <c r="B214" t="s">
        <v>833</v>
      </c>
      <c r="C214" t="str">
        <f t="shared" si="9"/>
        <v>1402.03VOL1</v>
      </c>
      <c r="D214" t="s">
        <v>1157</v>
      </c>
      <c r="E214" s="2">
        <v>44691</v>
      </c>
      <c r="G214" t="s">
        <v>214</v>
      </c>
      <c r="H214" t="str">
        <f t="shared" si="10"/>
        <v>https://federallibrary.us/DOD/DODI/1402.03VOL1/CURRENT/TITLE.html</v>
      </c>
      <c r="I214" t="str">
        <f t="shared" si="11"/>
        <v>&lt;tr&gt; &lt;td&gt; &lt;a href=https://federallibrary.us/DOD/DODI/1402.03VOL1/CURRENT/TITLE.html&gt; DODI 1402.03VOL1&lt;/a&gt; &lt;/td&gt; &lt;td&gt; Senior Executive Service (SES), Senior Level (SL) and Scientific and Professional (ST) Personnel Categories in the DoD Fourth Estate: Administration &lt;/td&gt; &lt;/tr&gt;</v>
      </c>
    </row>
    <row r="215" spans="1:9" x14ac:dyDescent="0.25">
      <c r="A215" t="s">
        <v>928</v>
      </c>
      <c r="B215" t="s">
        <v>834</v>
      </c>
      <c r="C215" t="str">
        <f t="shared" si="9"/>
        <v>1402.03VOL2</v>
      </c>
      <c r="D215" t="s">
        <v>1157</v>
      </c>
      <c r="E215" s="2">
        <v>44663</v>
      </c>
      <c r="G215" t="s">
        <v>215</v>
      </c>
      <c r="H215" t="str">
        <f t="shared" si="10"/>
        <v>https://federallibrary.us/DOD/DODI/1402.03VOL2/CURRENT/TITLE.html</v>
      </c>
      <c r="I215" t="str">
        <f t="shared" si="11"/>
        <v>&lt;tr&gt; &lt;td&gt; &lt;a href=https://federallibrary.us/DOD/DODI/1402.03VOL2/CURRENT/TITLE.html&gt; DODI 1402.03VOL2&lt;/a&gt; &lt;/td&gt; &lt;td&gt; Senior Executive Service (SES), Senior Level (SL) and Scientific and Professional (ST) Personnel Categories in the DoD Fourth Estate: Executive Resources Management &lt;/td&gt; &lt;/tr&gt;</v>
      </c>
    </row>
    <row r="216" spans="1:9" x14ac:dyDescent="0.25">
      <c r="A216" t="s">
        <v>928</v>
      </c>
      <c r="B216" t="s">
        <v>835</v>
      </c>
      <c r="C216" t="str">
        <f t="shared" si="9"/>
        <v>1402.03VOL3</v>
      </c>
      <c r="D216" t="s">
        <v>1157</v>
      </c>
      <c r="E216" s="2">
        <v>44698</v>
      </c>
      <c r="G216" t="s">
        <v>216</v>
      </c>
      <c r="H216" t="str">
        <f t="shared" si="10"/>
        <v>https://federallibrary.us/DOD/DODI/1402.03VOL3/CURRENT/TITLE.html</v>
      </c>
      <c r="I216" t="str">
        <f t="shared" si="11"/>
        <v>&lt;tr&gt; &lt;td&gt; &lt;a href=https://federallibrary.us/DOD/DODI/1402.03VOL3/CURRENT/TITLE.html&gt; DODI 1402.03VOL3&lt;/a&gt; &lt;/td&gt; &lt;td&gt; Senior Executive Service (SES), Senior Level (SL), and Scientific and Professional (ST) Personnel Categories in the DoD Fourth Estate: Staffing, Reassignments, Transfers, Details, and Reinstatements &lt;/td&gt; &lt;/tr&gt;</v>
      </c>
    </row>
    <row r="217" spans="1:9" x14ac:dyDescent="0.25">
      <c r="A217" t="s">
        <v>928</v>
      </c>
      <c r="B217" t="s">
        <v>836</v>
      </c>
      <c r="C217" t="str">
        <f t="shared" si="9"/>
        <v>1402.03VOL5</v>
      </c>
      <c r="D217" t="s">
        <v>1157</v>
      </c>
      <c r="E217" s="2">
        <v>44670</v>
      </c>
      <c r="G217" t="s">
        <v>217</v>
      </c>
      <c r="H217" t="str">
        <f t="shared" si="10"/>
        <v>https://federallibrary.us/DOD/DODI/1402.03VOL5/CURRENT/TITLE.html</v>
      </c>
      <c r="I217" t="str">
        <f t="shared" si="11"/>
        <v>&lt;tr&gt; &lt;td&gt; &lt;a href=https://federallibrary.us/DOD/DODI/1402.03VOL5/CURRENT/TITLE.html&gt; DODI 1402.03VOL5&lt;/a&gt; &lt;/td&gt; &lt;td&gt; Senior Executive Service (SES), Senior Level (SL), and Scientific and Professional (ST) Personnel Categories in the DoD Fourth Estate: Performance Management and Presidential Rank Awards &lt;/td&gt; &lt;/tr&gt;</v>
      </c>
    </row>
    <row r="218" spans="1:9" x14ac:dyDescent="0.25">
      <c r="A218" t="s">
        <v>928</v>
      </c>
      <c r="B218" t="s">
        <v>837</v>
      </c>
      <c r="C218" t="str">
        <f t="shared" si="9"/>
        <v>1402.03VOL6</v>
      </c>
      <c r="D218" t="s">
        <v>1157</v>
      </c>
      <c r="E218" s="2">
        <v>44708</v>
      </c>
      <c r="G218" t="s">
        <v>218</v>
      </c>
      <c r="H218" t="str">
        <f t="shared" si="10"/>
        <v>https://federallibrary.us/DOD/DODI/1402.03VOL6/CURRENT/TITLE.html</v>
      </c>
      <c r="I218" t="str">
        <f t="shared" si="11"/>
        <v>&lt;tr&gt; &lt;td&gt; &lt;a href=https://federallibrary.us/DOD/DODI/1402.03VOL6/CURRENT/TITLE.html&gt; DODI 1402.03VOL6&lt;/a&gt; &lt;/td&gt; &lt;td&gt; Senior Executive Service (SES), Senior Level (SL), and Scientific and Professional (ST) Personnel Categories in the DoD Fourth Estate: Probationary Periods, Disciplinary Actions, and Removals &lt;/td&gt; &lt;/tr&gt;</v>
      </c>
    </row>
    <row r="219" spans="1:9" x14ac:dyDescent="0.25">
      <c r="A219" t="s">
        <v>928</v>
      </c>
      <c r="B219" t="s">
        <v>868</v>
      </c>
      <c r="C219" t="str">
        <f t="shared" si="9"/>
        <v>1402.05</v>
      </c>
      <c r="D219" t="s">
        <v>1157</v>
      </c>
      <c r="E219" s="2">
        <v>42565</v>
      </c>
      <c r="G219" t="s">
        <v>219</v>
      </c>
      <c r="H219" t="str">
        <f t="shared" si="10"/>
        <v>https://federallibrary.us/DOD/DODI/1402.05/CURRENT/TITLE.html</v>
      </c>
      <c r="I219" t="str">
        <f t="shared" si="11"/>
        <v>&lt;tr&gt; &lt;td&gt; &lt;a href=https://federallibrary.us/DOD/DODI/1402.05/CURRENT/TITLE.html&gt; DODI 1402.05&lt;/a&gt; &lt;/td&gt; &lt;td&gt; Background Checks on Individuals in DoD Child Care Services Programs &lt;/td&gt; &lt;/tr&gt;</v>
      </c>
    </row>
    <row r="220" spans="1:9" x14ac:dyDescent="0.25">
      <c r="A220" t="s">
        <v>928</v>
      </c>
      <c r="B220" t="s">
        <v>858</v>
      </c>
      <c r="C220" t="str">
        <f t="shared" si="9"/>
        <v>1402.06</v>
      </c>
      <c r="D220" t="s">
        <v>1157</v>
      </c>
      <c r="E220" s="2">
        <v>43853</v>
      </c>
      <c r="G220" t="s">
        <v>220</v>
      </c>
      <c r="H220" t="str">
        <f t="shared" si="10"/>
        <v>https://federallibrary.us/DOD/DODI/1402.06/CURRENT/TITLE.html</v>
      </c>
      <c r="I220" t="str">
        <f t="shared" si="11"/>
        <v>&lt;tr&gt; &lt;td&gt; &lt;a href=https://federallibrary.us/DOD/DODI/1402.06/CURRENT/TITLE.html&gt; DODI 1402.06&lt;/a&gt; &lt;/td&gt; &lt;td&gt; Civilian Faculty Positions in DoD Post-Secondary Educational Institutions &lt;/td&gt; &lt;/tr&gt;</v>
      </c>
    </row>
    <row r="221" spans="1:9" x14ac:dyDescent="0.25">
      <c r="A221" t="s">
        <v>929</v>
      </c>
      <c r="B221" t="s">
        <v>870</v>
      </c>
      <c r="C221" t="str">
        <f t="shared" si="9"/>
        <v>1403.02</v>
      </c>
      <c r="D221" t="s">
        <v>1157</v>
      </c>
      <c r="E221" s="2">
        <v>33270</v>
      </c>
      <c r="G221" t="s">
        <v>221</v>
      </c>
      <c r="H221" t="str">
        <f t="shared" si="10"/>
        <v>https://federallibrary.us/DOD/DODI/1403.02/CURRENT/TITLE.html</v>
      </c>
      <c r="I221" t="str">
        <f t="shared" si="11"/>
        <v>&lt;tr&gt; &lt;td&gt; &lt;a href=https://federallibrary.us/DOD/DODI/1403.02/CURRENT/TITLE.html&gt; DODI 1403.02&lt;/a&gt; &lt;/td&gt; &lt;td&gt; Reduction in Force in the Senior Executive Service (SES) &lt;/td&gt; &lt;/tr&gt;</v>
      </c>
    </row>
    <row r="222" spans="1:9" x14ac:dyDescent="0.25">
      <c r="A222" t="s">
        <v>930</v>
      </c>
      <c r="B222" t="s">
        <v>870</v>
      </c>
      <c r="C222" t="str">
        <f t="shared" si="9"/>
        <v>1430.02</v>
      </c>
      <c r="D222" t="s">
        <v>1157</v>
      </c>
      <c r="E222" s="2">
        <v>38813</v>
      </c>
      <c r="G222" t="s">
        <v>222</v>
      </c>
      <c r="H222" t="str">
        <f t="shared" si="10"/>
        <v>https://federallibrary.us/DOD/DODI/1430.02/CURRENT/TITLE.html</v>
      </c>
      <c r="I222" t="str">
        <f t="shared" si="11"/>
        <v>&lt;tr&gt; &lt;td&gt; &lt;a href=https://federallibrary.us/DOD/DODI/1430.02/CURRENT/TITLE.html&gt; DODI 1430.02&lt;/a&gt; &lt;/td&gt; &lt;td&gt; Civilian Career Management &lt;/td&gt; &lt;/tr&gt;</v>
      </c>
    </row>
    <row r="223" spans="1:9" x14ac:dyDescent="0.25">
      <c r="A223" t="s">
        <v>930</v>
      </c>
      <c r="B223" t="s">
        <v>860</v>
      </c>
      <c r="C223" t="str">
        <f t="shared" si="9"/>
        <v>1430.16</v>
      </c>
      <c r="D223" t="s">
        <v>1157</v>
      </c>
      <c r="E223" s="2">
        <v>44796</v>
      </c>
      <c r="G223" t="s">
        <v>223</v>
      </c>
      <c r="H223" t="str">
        <f t="shared" si="10"/>
        <v>https://federallibrary.us/DOD/DODI/1430.16/CURRENT/TITLE.html</v>
      </c>
      <c r="I223" t="str">
        <f t="shared" si="11"/>
        <v>&lt;tr&gt; &lt;td&gt; &lt;a href=https://federallibrary.us/DOD/DODI/1430.16/CURRENT/TITLE.html&gt; DODI 1430.16&lt;/a&gt; &lt;/td&gt; &lt;td&gt; Growing Civilian Leaders &lt;/td&gt; &lt;/tr&gt;</v>
      </c>
    </row>
    <row r="224" spans="1:9" x14ac:dyDescent="0.25">
      <c r="A224" t="s">
        <v>931</v>
      </c>
      <c r="B224" t="s">
        <v>858</v>
      </c>
      <c r="C224" t="str">
        <f t="shared" si="9"/>
        <v>1438.06</v>
      </c>
      <c r="D224" t="s">
        <v>1157</v>
      </c>
      <c r="E224" s="2">
        <v>43955</v>
      </c>
      <c r="G224" t="s">
        <v>224</v>
      </c>
      <c r="H224" t="str">
        <f t="shared" si="10"/>
        <v>https://federallibrary.us/DOD/DODI/1438.06/CURRENT/TITLE.html</v>
      </c>
      <c r="I224" t="str">
        <f t="shared" si="11"/>
        <v>&lt;tr&gt; &lt;td&gt; &lt;a href=https://federallibrary.us/DOD/DODI/1438.06/CURRENT/TITLE.html&gt; DODI 1438.06&lt;/a&gt; &lt;/td&gt; &lt;td&gt; DoD Workplace Violence Prevention and Response Policy &lt;/td&gt; &lt;/tr&gt;</v>
      </c>
    </row>
    <row r="225" spans="1:9" x14ac:dyDescent="0.25">
      <c r="A225" t="s">
        <v>932</v>
      </c>
      <c r="B225" t="s">
        <v>870</v>
      </c>
      <c r="C225" t="str">
        <f t="shared" si="9"/>
        <v>1442.02</v>
      </c>
      <c r="D225" t="s">
        <v>1157</v>
      </c>
      <c r="E225" s="2">
        <v>45029</v>
      </c>
      <c r="G225" t="s">
        <v>225</v>
      </c>
      <c r="H225" t="str">
        <f t="shared" si="10"/>
        <v>https://federallibrary.us/DOD/DODI/1442.02/CURRENT/TITLE.html</v>
      </c>
      <c r="I225" t="str">
        <f t="shared" si="11"/>
        <v>&lt;tr&gt; &lt;td&gt; &lt;a href=https://federallibrary.us/DOD/DODI/1442.02/CURRENT/TITLE.html&gt; DODI 1442.02&lt;/a&gt; &lt;/td&gt; &lt;td&gt; Personnel Actions Involving Civilian Attorneys &lt;/td&gt; &lt;/tr&gt;</v>
      </c>
    </row>
    <row r="226" spans="1:9" x14ac:dyDescent="0.25">
      <c r="A226" t="s">
        <v>932</v>
      </c>
      <c r="B226" t="s">
        <v>863</v>
      </c>
      <c r="C226" t="str">
        <f t="shared" si="9"/>
        <v>1442.10</v>
      </c>
      <c r="D226" t="s">
        <v>1157</v>
      </c>
      <c r="E226" s="2">
        <v>40226</v>
      </c>
      <c r="G226" t="s">
        <v>226</v>
      </c>
      <c r="H226" t="str">
        <f t="shared" si="10"/>
        <v>https://federallibrary.us/DOD/DODI/1442.10/CURRENT/TITLE.html</v>
      </c>
      <c r="I226" t="str">
        <f t="shared" si="11"/>
        <v>&lt;tr&gt; &lt;td&gt; &lt;a href=https://federallibrary.us/DOD/DODI/1442.10/CURRENT/TITLE.html&gt; DODI 1442.10&lt;/a&gt; &lt;/td&gt; &lt;td&gt; Outside Assignments of Attorneys from the DoD Office of the General Counsel (OGC, DoD) and Defense Legal Services Agency (DLSA) &lt;/td&gt; &lt;/tr&gt;</v>
      </c>
    </row>
    <row r="227" spans="1:9" x14ac:dyDescent="0.25">
      <c r="A227" t="s">
        <v>933</v>
      </c>
      <c r="B227" t="s">
        <v>838</v>
      </c>
      <c r="C227" t="str">
        <f t="shared" si="9"/>
        <v>1444.02VOL1</v>
      </c>
      <c r="D227" t="s">
        <v>1157</v>
      </c>
      <c r="E227" s="2">
        <v>44033</v>
      </c>
      <c r="G227" t="s">
        <v>227</v>
      </c>
      <c r="H227" t="str">
        <f t="shared" si="10"/>
        <v>https://federallibrary.us/DOD/DODI/1444.02VOL1/CURRENT/TITLE.html</v>
      </c>
      <c r="I227" t="str">
        <f t="shared" si="11"/>
        <v>&lt;tr&gt; &lt;td&gt; &lt;a href=https://federallibrary.us/DOD/DODI/1444.02VOL1/CURRENT/TITLE.html&gt; DODI 1444.02VOL1&lt;/a&gt; &lt;/td&gt; &lt;td&gt; Data Submission Requirements for DoD Civilian Personnel: Appropriated Fund (APF) Civilians &lt;/td&gt; &lt;/tr&gt;</v>
      </c>
    </row>
    <row r="228" spans="1:9" x14ac:dyDescent="0.25">
      <c r="A228" t="s">
        <v>933</v>
      </c>
      <c r="B228" t="s">
        <v>839</v>
      </c>
      <c r="C228" t="str">
        <f t="shared" si="9"/>
        <v>1444.02VOL2</v>
      </c>
      <c r="D228" t="s">
        <v>1157</v>
      </c>
      <c r="E228" s="2">
        <v>44033</v>
      </c>
      <c r="G228" t="s">
        <v>228</v>
      </c>
      <c r="H228" t="str">
        <f t="shared" si="10"/>
        <v>https://federallibrary.us/DOD/DODI/1444.02VOL2/CURRENT/TITLE.html</v>
      </c>
      <c r="I228" t="str">
        <f t="shared" si="11"/>
        <v>&lt;tr&gt; &lt;td&gt; &lt;a href=https://federallibrary.us/DOD/DODI/1444.02VOL2/CURRENT/TITLE.html&gt; DODI 1444.02VOL2&lt;/a&gt; &lt;/td&gt; &lt;td&gt; Data Submission Requirements for DoD Civilian Personnel: Nonappropriated Fund (NAF) Civilians &lt;/td&gt; &lt;/tr&gt;</v>
      </c>
    </row>
    <row r="229" spans="1:9" x14ac:dyDescent="0.25">
      <c r="A229" t="s">
        <v>933</v>
      </c>
      <c r="B229" t="s">
        <v>840</v>
      </c>
      <c r="C229" t="str">
        <f t="shared" si="9"/>
        <v>1444.02VOL3</v>
      </c>
      <c r="D229" t="s">
        <v>1157</v>
      </c>
      <c r="E229" s="2">
        <v>44035</v>
      </c>
      <c r="G229" t="s">
        <v>229</v>
      </c>
      <c r="H229" t="str">
        <f t="shared" si="10"/>
        <v>https://federallibrary.us/DOD/DODI/1444.02VOL3/CURRENT/TITLE.html</v>
      </c>
      <c r="I229" t="str">
        <f t="shared" si="11"/>
        <v>&lt;tr&gt; &lt;td&gt; &lt;a href=https://federallibrary.us/DOD/DODI/1444.02VOL3/CURRENT/TITLE.html&gt; DODI 1444.02VOL3&lt;/a&gt; &lt;/td&gt; &lt;td&gt; Data Submission Requirements for DoD Civilian Personnel: Foreign National (FN) Civilians &lt;/td&gt; &lt;/tr&gt;</v>
      </c>
    </row>
    <row r="230" spans="1:9" x14ac:dyDescent="0.25">
      <c r="A230" t="s">
        <v>933</v>
      </c>
      <c r="B230" t="s">
        <v>841</v>
      </c>
      <c r="C230" t="str">
        <f t="shared" si="9"/>
        <v>1444.02VOL4</v>
      </c>
      <c r="D230" t="s">
        <v>1157</v>
      </c>
      <c r="E230" s="2">
        <v>44035</v>
      </c>
      <c r="G230" t="s">
        <v>230</v>
      </c>
      <c r="H230" t="str">
        <f t="shared" si="10"/>
        <v>https://federallibrary.us/DOD/DODI/1444.02VOL4/CURRENT/TITLE.html</v>
      </c>
      <c r="I230" t="str">
        <f t="shared" si="11"/>
        <v>&lt;tr&gt; &lt;td&gt; &lt;a href=https://federallibrary.us/DOD/DODI/1444.02VOL4/CURRENT/TITLE.html&gt; DODI 1444.02VOL4&lt;/a&gt; &lt;/td&gt; &lt;td&gt; Data Submission Requirements for DoD Civilian Personnel: Workforce and Address Dynamic Records &lt;/td&gt; &lt;/tr&gt;</v>
      </c>
    </row>
    <row r="231" spans="1:9" x14ac:dyDescent="0.25">
      <c r="A231" t="s">
        <v>934</v>
      </c>
      <c r="B231" t="s">
        <v>867</v>
      </c>
      <c r="C231" t="str">
        <f t="shared" si="9"/>
        <v>2000.03</v>
      </c>
      <c r="D231" t="s">
        <v>1157</v>
      </c>
      <c r="E231" s="2">
        <v>38734</v>
      </c>
      <c r="G231" t="s">
        <v>231</v>
      </c>
      <c r="H231" t="str">
        <f t="shared" si="10"/>
        <v>https://federallibrary.us/DOD/DODI/2000.03/CURRENT/TITLE.html</v>
      </c>
      <c r="I231" t="str">
        <f t="shared" si="11"/>
        <v>&lt;tr&gt; &lt;td&gt; &lt;a href=https://federallibrary.us/DOD/DODI/2000.03/CURRENT/TITLE.html&gt; DODI 2000.03&lt;/a&gt; &lt;/td&gt; &lt;td&gt; International Interchange of Patent Rights and Technical Information &lt;/td&gt; &lt;/tr&gt;</v>
      </c>
    </row>
    <row r="232" spans="1:9" x14ac:dyDescent="0.25">
      <c r="A232" t="s">
        <v>934</v>
      </c>
      <c r="B232" t="s">
        <v>847</v>
      </c>
      <c r="C232" t="str">
        <f t="shared" si="9"/>
        <v>2000.11</v>
      </c>
      <c r="D232" t="s">
        <v>1157</v>
      </c>
      <c r="E232" s="2">
        <v>42878</v>
      </c>
      <c r="G232" t="s">
        <v>232</v>
      </c>
      <c r="H232" t="str">
        <f t="shared" si="10"/>
        <v>https://federallibrary.us/DOD/DODI/2000.11/CURRENT/TITLE.html</v>
      </c>
      <c r="I232" t="str">
        <f t="shared" si="11"/>
        <v>&lt;tr&gt; &lt;td&gt; &lt;a href=https://federallibrary.us/DOD/DODI/2000.11/CURRENT/TITLE.html&gt; DODI 2000.11&lt;/a&gt; &lt;/td&gt; &lt;td&gt; Procedures for Handling Requests for Asylum and Temporary Refuge &lt;/td&gt; &lt;/tr&gt;</v>
      </c>
    </row>
    <row r="233" spans="1:9" x14ac:dyDescent="0.25">
      <c r="A233" t="s">
        <v>934</v>
      </c>
      <c r="B233" t="s">
        <v>886</v>
      </c>
      <c r="C233" t="str">
        <f t="shared" si="9"/>
        <v>2000.12</v>
      </c>
      <c r="D233" t="s">
        <v>1157</v>
      </c>
      <c r="E233" s="2">
        <v>42863</v>
      </c>
      <c r="G233" t="s">
        <v>233</v>
      </c>
      <c r="H233" t="str">
        <f t="shared" si="10"/>
        <v>https://federallibrary.us/DOD/DODI/2000.12/CURRENT/TITLE.html</v>
      </c>
      <c r="I233" t="str">
        <f t="shared" si="11"/>
        <v>&lt;tr&gt; &lt;td&gt; &lt;a href=https://federallibrary.us/DOD/DODI/2000.12/CURRENT/TITLE.html&gt; DODI 2000.12&lt;/a&gt; &lt;/td&gt; &lt;td&gt; DoD Antiterrorism (AT) Program &lt;/td&gt; &lt;/tr&gt;</v>
      </c>
    </row>
    <row r="234" spans="1:9" x14ac:dyDescent="0.25">
      <c r="A234">
        <v>2000</v>
      </c>
      <c r="B234" t="s">
        <v>842</v>
      </c>
      <c r="C234" t="str">
        <f t="shared" si="9"/>
        <v>2000.16VOL1</v>
      </c>
      <c r="D234" t="s">
        <v>1157</v>
      </c>
      <c r="E234" s="2">
        <v>44323</v>
      </c>
      <c r="G234" t="s">
        <v>234</v>
      </c>
      <c r="H234" t="str">
        <f t="shared" si="10"/>
        <v>https://federallibrary.us/DOD/DODI/2000.16VOL1/CURRENT/TITLE.html</v>
      </c>
      <c r="I234" t="str">
        <f t="shared" si="11"/>
        <v>&lt;tr&gt; &lt;td&gt; &lt;a href=https://federallibrary.us/DOD/DODI/2000.16VOL1/CURRENT/TITLE.html&gt; DODI 2000.16VOL1&lt;/a&gt; &lt;/td&gt; &lt;td&gt; (U) DoD Antiterrorism Program Implementation: DoD Antiterrorism Standards &lt;/td&gt; &lt;/tr&gt;</v>
      </c>
    </row>
    <row r="235" spans="1:9" x14ac:dyDescent="0.25">
      <c r="A235">
        <v>2000</v>
      </c>
      <c r="B235" t="s">
        <v>843</v>
      </c>
      <c r="C235" t="str">
        <f t="shared" si="9"/>
        <v>2000.16VOL2</v>
      </c>
      <c r="D235" t="s">
        <v>1157</v>
      </c>
      <c r="E235" s="2">
        <v>42863</v>
      </c>
      <c r="G235" t="s">
        <v>235</v>
      </c>
      <c r="H235" t="str">
        <f t="shared" si="10"/>
        <v>https://federallibrary.us/DOD/DODI/2000.16VOL2/CURRENT/TITLE.html</v>
      </c>
      <c r="I235" t="str">
        <f t="shared" si="11"/>
        <v>&lt;tr&gt; &lt;td&gt; &lt;a href=https://federallibrary.us/DOD/DODI/2000.16VOL2/CURRENT/TITLE.html&gt; DODI 2000.16VOL2&lt;/a&gt; &lt;/td&gt; &lt;td&gt; DoD Antiterrorism (AT) Program Implementation: DoD Force Protection Condition (FPCON) System &lt;/td&gt; &lt;/tr&gt;</v>
      </c>
    </row>
    <row r="236" spans="1:9" x14ac:dyDescent="0.25">
      <c r="A236" t="s">
        <v>934</v>
      </c>
      <c r="B236" t="s">
        <v>850</v>
      </c>
      <c r="C236" t="str">
        <f t="shared" si="9"/>
        <v>2000.17</v>
      </c>
      <c r="D236" t="s">
        <v>1157</v>
      </c>
      <c r="E236" s="2">
        <v>43355</v>
      </c>
      <c r="G236" t="s">
        <v>236</v>
      </c>
      <c r="H236" t="str">
        <f t="shared" si="10"/>
        <v>https://federallibrary.us/DOD/DODI/2000.17/CURRENT/TITLE.html</v>
      </c>
      <c r="I236" t="str">
        <f t="shared" si="11"/>
        <v>&lt;tr&gt; &lt;td&gt; &lt;a href=https://federallibrary.us/DOD/DODI/2000.17/CURRENT/TITLE.html&gt; DODI 2000.17&lt;/a&gt; &lt;/td&gt; &lt;td&gt; DoD Participation in the NATO Commitee on Gender Perspectives (NCGP) &lt;/td&gt; &lt;/tr&gt;</v>
      </c>
    </row>
    <row r="237" spans="1:9" x14ac:dyDescent="0.25">
      <c r="A237" t="s">
        <v>934</v>
      </c>
      <c r="B237" t="s">
        <v>905</v>
      </c>
      <c r="C237" t="str">
        <f t="shared" si="9"/>
        <v>2000.20</v>
      </c>
      <c r="D237" t="s">
        <v>1157</v>
      </c>
      <c r="E237" s="2">
        <v>38593</v>
      </c>
      <c r="G237" t="s">
        <v>237</v>
      </c>
      <c r="H237" t="str">
        <f t="shared" si="10"/>
        <v>https://federallibrary.us/DOD/DODI/2000.20/CURRENT/TITLE.html</v>
      </c>
      <c r="I237" t="str">
        <f t="shared" si="11"/>
        <v>&lt;tr&gt; &lt;td&gt; &lt;a href=https://federallibrary.us/DOD/DODI/2000.20/CURRENT/TITLE.html&gt; DODI 2000.20&lt;/a&gt; &lt;/td&gt; &lt;td&gt; Cooperative Logistics Supply Support Arrangements &lt;/td&gt; &lt;/tr&gt;</v>
      </c>
    </row>
    <row r="238" spans="1:9" x14ac:dyDescent="0.25">
      <c r="A238" t="s">
        <v>934</v>
      </c>
      <c r="B238" t="s">
        <v>875</v>
      </c>
      <c r="C238" t="str">
        <f t="shared" si="9"/>
        <v>2000.21</v>
      </c>
      <c r="D238" t="s">
        <v>1157</v>
      </c>
      <c r="E238" s="2">
        <v>42863</v>
      </c>
      <c r="G238" t="s">
        <v>238</v>
      </c>
      <c r="H238" t="str">
        <f t="shared" si="10"/>
        <v>https://federallibrary.us/DOD/DODI/2000.21/CURRENT/TITLE.html</v>
      </c>
      <c r="I238" t="str">
        <f t="shared" si="11"/>
        <v>&lt;tr&gt; &lt;td&gt; &lt;a href=https://federallibrary.us/DOD/DODI/2000.21/CURRENT/TITLE.html&gt; DODI 2000.21&lt;/a&gt; &lt;/td&gt; &lt;td&gt; DoD Support to International Chemical, Biological, Radiological, and Nuclear (CBRN) Incidents &lt;/td&gt; &lt;/tr&gt;</v>
      </c>
    </row>
    <row r="239" spans="1:9" x14ac:dyDescent="0.25">
      <c r="A239">
        <v>2000</v>
      </c>
      <c r="B239" t="s">
        <v>876</v>
      </c>
      <c r="C239" t="str">
        <f t="shared" si="9"/>
        <v>2000.22</v>
      </c>
      <c r="D239" t="s">
        <v>1157</v>
      </c>
      <c r="E239" s="2">
        <v>45232</v>
      </c>
      <c r="G239" t="s">
        <v>239</v>
      </c>
      <c r="H239" t="str">
        <f t="shared" si="10"/>
        <v>https://federallibrary.us/DOD/DODI/2000.22/CURRENT/TITLE.html</v>
      </c>
      <c r="I239" t="str">
        <f t="shared" si="11"/>
        <v>&lt;tr&gt; &lt;td&gt; &lt;a href=https://federallibrary.us/DOD/DODI/2000.22/CURRENT/TITLE.html&gt; DODI 2000.22&lt;/a&gt; &lt;/td&gt; &lt;td&gt; Designation and Physical Protection of DoD High-Risk Personnel &lt;/td&gt; &lt;/tr&gt;</v>
      </c>
    </row>
    <row r="240" spans="1:9" x14ac:dyDescent="0.25">
      <c r="A240">
        <v>2000</v>
      </c>
      <c r="B240" t="s">
        <v>877</v>
      </c>
      <c r="C240" t="str">
        <f t="shared" si="9"/>
        <v>2000.23</v>
      </c>
      <c r="D240" t="s">
        <v>1157</v>
      </c>
      <c r="E240" s="2">
        <v>39644</v>
      </c>
      <c r="G240" t="s">
        <v>240</v>
      </c>
      <c r="H240" t="str">
        <f t="shared" si="10"/>
        <v>https://federallibrary.us/DOD/DODI/2000.23/CURRENT/TITLE.html</v>
      </c>
      <c r="I240" t="str">
        <f t="shared" si="11"/>
        <v>&lt;tr&gt; &lt;td&gt; &lt;a href=https://federallibrary.us/DOD/DODI/2000.23/CURRENT/TITLE.html&gt; DODI 2000.23&lt;/a&gt; &lt;/td&gt; &lt;td&gt; (U) Conduct of DoD Contacts with the People's Republic of China (PRC) &lt;/td&gt; &lt;/tr&gt;</v>
      </c>
    </row>
    <row r="241" spans="1:9" x14ac:dyDescent="0.25">
      <c r="A241">
        <v>2000</v>
      </c>
      <c r="B241" t="s">
        <v>878</v>
      </c>
      <c r="C241" t="str">
        <f t="shared" si="9"/>
        <v>2000.24</v>
      </c>
      <c r="D241" t="s">
        <v>1157</v>
      </c>
      <c r="E241" s="2">
        <v>40228</v>
      </c>
      <c r="G241" t="s">
        <v>241</v>
      </c>
      <c r="H241" t="str">
        <f t="shared" si="10"/>
        <v>https://federallibrary.us/DOD/DODI/2000.24/CURRENT/TITLE.html</v>
      </c>
      <c r="I241" t="str">
        <f t="shared" si="11"/>
        <v>&lt;tr&gt; &lt;td&gt; &lt;a href=https://federallibrary.us/DOD/DODI/2000.24/CURRENT/TITLE.html&gt; DODI 2000.24&lt;/a&gt; &lt;/td&gt; &lt;td&gt; (U) Conduct of DoD Contacts with the Government of the Hong Kong, Special Administrative Region (HKSAR) of the People's Republic of China (PRC) &lt;/td&gt; &lt;/tr&gt;</v>
      </c>
    </row>
    <row r="242" spans="1:9" x14ac:dyDescent="0.25">
      <c r="A242" t="s">
        <v>934</v>
      </c>
      <c r="B242" t="s">
        <v>851</v>
      </c>
      <c r="C242" t="str">
        <f t="shared" si="9"/>
        <v>2000.25</v>
      </c>
      <c r="D242" t="s">
        <v>1157</v>
      </c>
      <c r="E242" s="2">
        <v>44708</v>
      </c>
      <c r="G242" t="s">
        <v>242</v>
      </c>
      <c r="H242" t="str">
        <f t="shared" si="10"/>
        <v>https://federallibrary.us/DOD/DODI/2000.25/CURRENT/TITLE.html</v>
      </c>
      <c r="I242" t="str">
        <f t="shared" si="11"/>
        <v>&lt;tr&gt; &lt;td&gt; &lt;a href=https://federallibrary.us/DOD/DODI/2000.25/CURRENT/TITLE.html&gt; DODI 2000.25&lt;/a&gt; &lt;/td&gt; &lt;td&gt; DoD Procedures for Reviewing and Monitoring Transactions Filed with the Committee on Foreign Investment in the United States &lt;/td&gt; &lt;/tr&gt;</v>
      </c>
    </row>
    <row r="243" spans="1:9" x14ac:dyDescent="0.25">
      <c r="A243" t="s">
        <v>934</v>
      </c>
      <c r="B243" t="s">
        <v>894</v>
      </c>
      <c r="C243" t="str">
        <f t="shared" si="9"/>
        <v>2000.26</v>
      </c>
      <c r="D243" t="s">
        <v>1157</v>
      </c>
      <c r="E243" s="2">
        <v>43803</v>
      </c>
      <c r="G243" t="s">
        <v>243</v>
      </c>
      <c r="H243" t="str">
        <f t="shared" si="10"/>
        <v>https://federallibrary.us/DOD/DODI/2000.26/CURRENT/TITLE.html</v>
      </c>
      <c r="I243" t="str">
        <f t="shared" si="11"/>
        <v>&lt;tr&gt; &lt;td&gt; &lt;a href=https://federallibrary.us/DOD/DODI/2000.26/CURRENT/TITLE.html&gt; DODI 2000.26&lt;/a&gt; &lt;/td&gt; &lt;td&gt; DoD Use of the Federal Bureau of Investigation (FBI) eGuardian System &lt;/td&gt; &lt;/tr&gt;</v>
      </c>
    </row>
    <row r="244" spans="1:9" x14ac:dyDescent="0.25">
      <c r="A244">
        <v>2000</v>
      </c>
      <c r="B244" t="s">
        <v>852</v>
      </c>
      <c r="C244" t="str">
        <f t="shared" si="9"/>
        <v>2000.27</v>
      </c>
      <c r="D244" t="s">
        <v>1157</v>
      </c>
      <c r="E244" s="2">
        <v>44399</v>
      </c>
      <c r="G244" t="s">
        <v>244</v>
      </c>
      <c r="H244" t="str">
        <f t="shared" si="10"/>
        <v>https://federallibrary.us/DOD/DODI/2000.27/CURRENT/TITLE.html</v>
      </c>
      <c r="I244" t="str">
        <f t="shared" si="11"/>
        <v>&lt;tr&gt; &lt;td&gt; &lt;a href=https://federallibrary.us/DOD/DODI/2000.27/CURRENT/TITLE.html&gt; DODI 2000.27&lt;/a&gt; &lt;/td&gt; &lt;td&gt; DoD Senior Foreign Official Visit Program &lt;/td&gt; &lt;/tr&gt;</v>
      </c>
    </row>
    <row r="245" spans="1:9" x14ac:dyDescent="0.25">
      <c r="A245" t="s">
        <v>934</v>
      </c>
      <c r="B245" t="s">
        <v>853</v>
      </c>
      <c r="C245" t="str">
        <f t="shared" si="9"/>
        <v>2000.28</v>
      </c>
      <c r="D245" t="s">
        <v>1157</v>
      </c>
      <c r="E245" s="2">
        <v>43952</v>
      </c>
      <c r="G245" t="s">
        <v>245</v>
      </c>
      <c r="H245" t="str">
        <f t="shared" si="10"/>
        <v>https://federallibrary.us/DOD/DODI/2000.28/CURRENT/TITLE.html</v>
      </c>
      <c r="I245" t="str">
        <f t="shared" si="11"/>
        <v>&lt;tr&gt; &lt;td&gt; &lt;a href=https://federallibrary.us/DOD/DODI/2000.28/CURRENT/TITLE.html&gt; DODI 2000.28&lt;/a&gt; &lt;/td&gt; &lt;td&gt; DoD Policy and Responsibilities Relating to the Regional Defense Combating Terrorism Fellowship Program (CTFP) &lt;/td&gt; &lt;/tr&gt;</v>
      </c>
    </row>
    <row r="246" spans="1:9" x14ac:dyDescent="0.25">
      <c r="A246" t="s">
        <v>934</v>
      </c>
      <c r="B246" t="s">
        <v>854</v>
      </c>
      <c r="C246" t="str">
        <f t="shared" si="9"/>
        <v>2000.30</v>
      </c>
      <c r="D246" t="s">
        <v>1157</v>
      </c>
      <c r="E246" s="2">
        <v>42928</v>
      </c>
      <c r="G246" t="s">
        <v>246</v>
      </c>
      <c r="H246" t="str">
        <f t="shared" si="10"/>
        <v>https://federallibrary.us/DOD/DODI/2000.30/CURRENT/TITLE.html</v>
      </c>
      <c r="I246" t="str">
        <f t="shared" si="11"/>
        <v>&lt;tr&gt; &lt;td&gt; &lt;a href=https://federallibrary.us/DOD/DODI/2000.30/CURRENT/TITLE.html&gt; DODI 2000.30&lt;/a&gt; &lt;/td&gt; &lt;td&gt; Global Health Engagement (GHE) Activities &lt;/td&gt; &lt;/tr&gt;</v>
      </c>
    </row>
    <row r="247" spans="1:9" x14ac:dyDescent="0.25">
      <c r="A247">
        <v>2000</v>
      </c>
      <c r="B247" t="s">
        <v>855</v>
      </c>
      <c r="C247" t="str">
        <f t="shared" si="9"/>
        <v>2000.31</v>
      </c>
      <c r="D247" t="s">
        <v>1157</v>
      </c>
      <c r="E247" s="2">
        <v>44323</v>
      </c>
      <c r="G247" t="s">
        <v>247</v>
      </c>
      <c r="H247" t="str">
        <f t="shared" si="10"/>
        <v>https://federallibrary.us/DOD/DODI/2000.31/CURRENT/TITLE.html</v>
      </c>
      <c r="I247" t="str">
        <f t="shared" si="11"/>
        <v>&lt;tr&gt; &lt;td&gt; &lt;a href=https://federallibrary.us/DOD/DODI/2000.31/CURRENT/TITLE.html&gt; DODI 2000.31&lt;/a&gt; &lt;/td&gt; &lt;td&gt; (U) DoD Policy on Defense Engagement with the Russian Federation &lt;/td&gt; &lt;/tr&gt;</v>
      </c>
    </row>
    <row r="248" spans="1:9" x14ac:dyDescent="0.25">
      <c r="A248">
        <v>2000</v>
      </c>
      <c r="B248" t="s">
        <v>845</v>
      </c>
      <c r="C248" t="str">
        <f t="shared" si="9"/>
        <v>2000.01</v>
      </c>
      <c r="D248" t="s">
        <v>1157</v>
      </c>
      <c r="E248" s="2">
        <v>41932</v>
      </c>
      <c r="G248" t="s">
        <v>248</v>
      </c>
      <c r="H248" t="str">
        <f t="shared" si="10"/>
        <v>https://federallibrary.us/DOD/DODI/2000.01/CURRENT/TITLE.html</v>
      </c>
      <c r="I248" t="str">
        <f t="shared" si="11"/>
        <v>&lt;tr&gt; &lt;td&gt; &lt;a href=https://federallibrary.us/DOD/DODI/2000.01/CURRENT/TITLE.html&gt; DODI 2000.01&lt;/a&gt; &lt;/td&gt; &lt;td&gt; (U) Freedom of Navigation (FON) Program &lt;/td&gt; &lt;/tr&gt;</v>
      </c>
    </row>
    <row r="249" spans="1:9" x14ac:dyDescent="0.25">
      <c r="A249" t="s">
        <v>935</v>
      </c>
      <c r="B249" t="s">
        <v>858</v>
      </c>
      <c r="C249" t="str">
        <f t="shared" si="9"/>
        <v>2010.06</v>
      </c>
      <c r="D249" t="s">
        <v>1157</v>
      </c>
      <c r="E249" s="2">
        <v>43343</v>
      </c>
      <c r="G249" t="s">
        <v>249</v>
      </c>
      <c r="H249" t="str">
        <f t="shared" si="10"/>
        <v>https://federallibrary.us/DOD/DODI/2010.06/CURRENT/TITLE.html</v>
      </c>
      <c r="I249" t="str">
        <f t="shared" si="11"/>
        <v>&lt;tr&gt; &lt;td&gt; &lt;a href=https://federallibrary.us/DOD/DODI/2010.06/CURRENT/TITLE.html&gt; DODI 2010.06&lt;/a&gt; &lt;/td&gt; &lt;td&gt; Materiel Interoperability and Standardization with Allies and Coalition Partners &lt;/td&gt; &lt;/tr&gt;</v>
      </c>
    </row>
    <row r="250" spans="1:9" x14ac:dyDescent="0.25">
      <c r="A250" t="s">
        <v>935</v>
      </c>
      <c r="B250" t="s">
        <v>886</v>
      </c>
      <c r="C250" t="str">
        <f t="shared" si="9"/>
        <v>2010.12</v>
      </c>
      <c r="D250" t="s">
        <v>1157</v>
      </c>
      <c r="E250" s="2">
        <v>42895</v>
      </c>
      <c r="G250" t="s">
        <v>250</v>
      </c>
      <c r="H250" t="str">
        <f t="shared" si="10"/>
        <v>https://federallibrary.us/DOD/DODI/2010.12/CURRENT/TITLE.html</v>
      </c>
      <c r="I250" t="str">
        <f t="shared" si="11"/>
        <v>&lt;tr&gt; &lt;td&gt; &lt;a href=https://federallibrary.us/DOD/DODI/2010.12/CURRENT/TITLE.html&gt; DODI 2010.12&lt;/a&gt; &lt;/td&gt; &lt;td&gt; Aviation Leadership Program &lt;/td&gt; &lt;/tr&gt;</v>
      </c>
    </row>
    <row r="251" spans="1:9" x14ac:dyDescent="0.25">
      <c r="A251" t="s">
        <v>936</v>
      </c>
      <c r="B251" t="s">
        <v>846</v>
      </c>
      <c r="C251" t="str">
        <f t="shared" si="9"/>
        <v>2015.04</v>
      </c>
      <c r="D251" t="s">
        <v>1157</v>
      </c>
      <c r="E251" s="2">
        <v>43343</v>
      </c>
      <c r="G251" t="s">
        <v>251</v>
      </c>
      <c r="H251" t="str">
        <f t="shared" si="10"/>
        <v>https://federallibrary.us/DOD/DODI/2015.04/CURRENT/TITLE.html</v>
      </c>
      <c r="I251" t="str">
        <f t="shared" si="11"/>
        <v>&lt;tr&gt; &lt;td&gt; &lt;a href=https://federallibrary.us/DOD/DODI/2015.04/CURRENT/TITLE.html&gt; DODI 2015.04&lt;/a&gt; &lt;/td&gt; &lt;td&gt; Defense Research, Development, Test and Evaluation (RDT&amp;E) Information Exchange Program (IEP) &lt;/td&gt; &lt;/tr&gt;</v>
      </c>
    </row>
    <row r="252" spans="1:9" x14ac:dyDescent="0.25">
      <c r="A252" t="s">
        <v>937</v>
      </c>
      <c r="B252" t="s">
        <v>865</v>
      </c>
      <c r="C252" t="str">
        <f t="shared" si="9"/>
        <v>2030.08</v>
      </c>
      <c r="D252" t="s">
        <v>1157</v>
      </c>
      <c r="E252" s="2">
        <v>42879</v>
      </c>
      <c r="G252" t="s">
        <v>252</v>
      </c>
      <c r="H252" t="str">
        <f t="shared" si="10"/>
        <v>https://federallibrary.us/DOD/DODI/2030.08/CURRENT/TITLE.html</v>
      </c>
      <c r="I252" t="str">
        <f t="shared" si="11"/>
        <v>&lt;tr&gt; &lt;td&gt; &lt;a href=https://federallibrary.us/DOD/DODI/2030.08/CURRENT/TITLE.html&gt; DODI 2030.08&lt;/a&gt; &lt;/td&gt; &lt;td&gt; Implementation of Trade Security Controls (TSCs) for Transfers of DoD Personal Property to Parties Outside DoD Control &lt;/td&gt; &lt;/tr&gt;</v>
      </c>
    </row>
    <row r="253" spans="1:9" x14ac:dyDescent="0.25">
      <c r="A253" t="s">
        <v>938</v>
      </c>
      <c r="B253" t="s">
        <v>845</v>
      </c>
      <c r="C253" t="str">
        <f t="shared" si="9"/>
        <v>2035.01</v>
      </c>
      <c r="D253" t="s">
        <v>1157</v>
      </c>
      <c r="E253" s="2">
        <v>38775</v>
      </c>
      <c r="G253" t="s">
        <v>253</v>
      </c>
      <c r="H253" t="str">
        <f t="shared" si="10"/>
        <v>https://federallibrary.us/DOD/DODI/2035.01/CURRENT/TITLE.html</v>
      </c>
      <c r="I253" t="str">
        <f t="shared" si="11"/>
        <v>&lt;tr&gt; &lt;td&gt; &lt;a href=https://federallibrary.us/DOD/DODI/2035.01/CURRENT/TITLE.html&gt; DODI 2035.01&lt;/a&gt; &lt;/td&gt; &lt;td&gt; Defense Economic Cooperation with Canada &lt;/td&gt; &lt;/tr&gt;</v>
      </c>
    </row>
    <row r="254" spans="1:9" x14ac:dyDescent="0.25">
      <c r="A254" t="s">
        <v>939</v>
      </c>
      <c r="B254" t="s">
        <v>870</v>
      </c>
      <c r="C254" t="str">
        <f t="shared" si="9"/>
        <v>2040.02</v>
      </c>
      <c r="D254" t="s">
        <v>1157</v>
      </c>
      <c r="E254" s="2">
        <v>42947</v>
      </c>
      <c r="G254" t="s">
        <v>254</v>
      </c>
      <c r="H254" t="str">
        <f t="shared" si="10"/>
        <v>https://federallibrary.us/DOD/DODI/2040.02/CURRENT/TITLE.html</v>
      </c>
      <c r="I254" t="str">
        <f t="shared" si="11"/>
        <v>&lt;tr&gt; &lt;td&gt; &lt;a href=https://federallibrary.us/DOD/DODI/2040.02/CURRENT/TITLE.html&gt; DODI 2040.02&lt;/a&gt; &lt;/td&gt; &lt;td&gt; International Transfers of Technology, Articles, and Services &lt;/td&gt; &lt;/tr&gt;</v>
      </c>
    </row>
    <row r="255" spans="1:9" x14ac:dyDescent="0.25">
      <c r="A255" t="s">
        <v>939</v>
      </c>
      <c r="B255" t="s">
        <v>867</v>
      </c>
      <c r="C255" t="str">
        <f t="shared" si="9"/>
        <v>2040.03</v>
      </c>
      <c r="D255" t="s">
        <v>1157</v>
      </c>
      <c r="E255" s="2">
        <v>44027</v>
      </c>
      <c r="G255" t="s">
        <v>255</v>
      </c>
      <c r="H255" t="str">
        <f t="shared" si="10"/>
        <v>https://federallibrary.us/DOD/DODI/2040.03/CURRENT/TITLE.html</v>
      </c>
      <c r="I255" t="str">
        <f t="shared" si="11"/>
        <v>&lt;tr&gt; &lt;td&gt; &lt;a href=https://federallibrary.us/DOD/DODI/2040.03/CURRENT/TITLE.html&gt; DODI 2040.03&lt;/a&gt; &lt;/td&gt; &lt;td&gt; End Use Certificates (EUCs) &lt;/td&gt; &lt;/tr&gt;</v>
      </c>
    </row>
    <row r="256" spans="1:9" x14ac:dyDescent="0.25">
      <c r="A256" t="s">
        <v>940</v>
      </c>
      <c r="B256" t="s">
        <v>867</v>
      </c>
      <c r="C256" t="str">
        <f t="shared" si="9"/>
        <v>2060.03</v>
      </c>
      <c r="D256" t="s">
        <v>1157</v>
      </c>
      <c r="E256" s="2">
        <v>43718</v>
      </c>
      <c r="G256" t="s">
        <v>256</v>
      </c>
      <c r="H256" t="str">
        <f t="shared" si="10"/>
        <v>https://federallibrary.us/DOD/DODI/2060.03/CURRENT/TITLE.html</v>
      </c>
      <c r="I256" t="str">
        <f t="shared" si="11"/>
        <v>&lt;tr&gt; &lt;td&gt; &lt;a href=https://federallibrary.us/DOD/DODI/2060.03/CURRENT/TITLE.html&gt; DODI 2060.03&lt;/a&gt; &lt;/td&gt; &lt;td&gt; Application of the National Security Exclusion to the Agreements Between the United States of America and the International Atomic Energy Agency for the Application of Safeguards in the United States of America &lt;/td&gt; &lt;/tr&gt;</v>
      </c>
    </row>
    <row r="257" spans="1:9" x14ac:dyDescent="0.25">
      <c r="A257" t="s">
        <v>941</v>
      </c>
      <c r="B257" t="s">
        <v>845</v>
      </c>
      <c r="C257" t="str">
        <f t="shared" si="9"/>
        <v>2200.01</v>
      </c>
      <c r="D257" t="s">
        <v>1157</v>
      </c>
      <c r="E257" s="2">
        <v>43637</v>
      </c>
      <c r="G257" t="s">
        <v>257</v>
      </c>
      <c r="H257" t="str">
        <f t="shared" si="10"/>
        <v>https://federallibrary.us/DOD/DODI/2200.01/CURRENT/TITLE.html</v>
      </c>
      <c r="I257" t="str">
        <f t="shared" si="11"/>
        <v>&lt;tr&gt; &lt;td&gt; &lt;a href=https://federallibrary.us/DOD/DODI/2200.01/CURRENT/TITLE.html&gt; DODI 2200.01&lt;/a&gt; &lt;/td&gt; &lt;td&gt; Combating Trafficking in Persons (CTIP) &lt;/td&gt; &lt;/tr&gt;</v>
      </c>
    </row>
    <row r="258" spans="1:9" x14ac:dyDescent="0.25">
      <c r="A258" t="s">
        <v>942</v>
      </c>
      <c r="B258" t="s">
        <v>870</v>
      </c>
      <c r="C258" t="str">
        <f t="shared" si="9"/>
        <v>2205.02</v>
      </c>
      <c r="D258" t="s">
        <v>1157</v>
      </c>
      <c r="E258" s="2">
        <v>42877</v>
      </c>
      <c r="G258" t="s">
        <v>258</v>
      </c>
      <c r="H258" t="str">
        <f t="shared" si="10"/>
        <v>https://federallibrary.us/DOD/DODI/2205.02/CURRENT/TITLE.html</v>
      </c>
      <c r="I258" t="str">
        <f t="shared" si="11"/>
        <v>&lt;tr&gt; &lt;td&gt; &lt;a href=https://federallibrary.us/DOD/DODI/2205.02/CURRENT/TITLE.html&gt; DODI 2205.02&lt;/a&gt; &lt;/td&gt; &lt;td&gt; Humanitarian and Civic Assistance (HCA) Activities &lt;/td&gt; &lt;/tr&gt;</v>
      </c>
    </row>
    <row r="259" spans="1:9" x14ac:dyDescent="0.25">
      <c r="A259" t="s">
        <v>943</v>
      </c>
      <c r="B259" t="s">
        <v>868</v>
      </c>
      <c r="C259" t="str">
        <f t="shared" ref="C259:C322" si="12">_xlfn.CONCAT(A259,".",B259)</f>
        <v>2310.05</v>
      </c>
      <c r="D259" t="s">
        <v>1157</v>
      </c>
      <c r="E259" s="2">
        <v>39521</v>
      </c>
      <c r="G259" t="s">
        <v>259</v>
      </c>
      <c r="H259" t="str">
        <f t="shared" ref="H259:H322" si="13">IF(D259="CURRENT",_xlfn.CONCAT("https://federallibrary.us/DOD/DODI/",C259,"/CURRENT/TITLE.html"),"")</f>
        <v>https://federallibrary.us/DOD/DODI/2310.05/CURRENT/TITLE.html</v>
      </c>
      <c r="I259" t="str">
        <f t="shared" ref="I259:I322" si="14">IF(D259="CURRENT",_xlfn.CONCAT("&lt;tr&gt; &lt;td&gt; &lt;a href=",H259,"&gt; DODI ",C259, "&lt;/a&gt; &lt;/td&gt; &lt;td&gt; ", G259, " &lt;/td&gt; &lt;/tr&gt;"),"")</f>
        <v>&lt;tr&gt; &lt;td&gt; &lt;a href=https://federallibrary.us/DOD/DODI/2310.05/CURRENT/TITLE.html&gt; DODI 2310.05&lt;/a&gt; &lt;/td&gt; &lt;td&gt; Accounting for Missing Persons - Boards of Inquiry &lt;/td&gt; &lt;/tr&gt;</v>
      </c>
    </row>
    <row r="260" spans="1:9" x14ac:dyDescent="0.25">
      <c r="A260" t="s">
        <v>943</v>
      </c>
      <c r="B260" t="s">
        <v>865</v>
      </c>
      <c r="C260" t="str">
        <f t="shared" si="12"/>
        <v>2310.08</v>
      </c>
      <c r="D260" t="s">
        <v>1157</v>
      </c>
      <c r="E260" s="2">
        <v>44433</v>
      </c>
      <c r="G260" t="s">
        <v>260</v>
      </c>
      <c r="H260" t="str">
        <f t="shared" si="13"/>
        <v>https://federallibrary.us/DOD/DODI/2310.08/CURRENT/TITLE.html</v>
      </c>
      <c r="I260" t="str">
        <f t="shared" si="14"/>
        <v>&lt;tr&gt; &lt;td&gt; &lt;a href=https://federallibrary.us/DOD/DODI/2310.08/CURRENT/TITLE.html&gt; DODI 2310.08&lt;/a&gt; &lt;/td&gt; &lt;td&gt; Medical Program Support for Detainee Operations &lt;/td&gt; &lt;/tr&gt;</v>
      </c>
    </row>
    <row r="261" spans="1:9" x14ac:dyDescent="0.25">
      <c r="A261" t="s">
        <v>943</v>
      </c>
      <c r="B261" t="s">
        <v>862</v>
      </c>
      <c r="C261" t="str">
        <f t="shared" si="12"/>
        <v>2310.09</v>
      </c>
      <c r="D261" t="s">
        <v>1157</v>
      </c>
      <c r="E261" s="2">
        <v>43713</v>
      </c>
      <c r="G261" t="s">
        <v>261</v>
      </c>
      <c r="H261" t="str">
        <f t="shared" si="13"/>
        <v>https://federallibrary.us/DOD/DODI/2310.09/CURRENT/TITLE.html</v>
      </c>
      <c r="I261" t="str">
        <f t="shared" si="14"/>
        <v>&lt;tr&gt; &lt;td&gt; &lt;a href=https://federallibrary.us/DOD/DODI/2310.09/CURRENT/TITLE.html&gt; DODI 2310.09&lt;/a&gt; &lt;/td&gt; &lt;td&gt; Behavioral Science Support (BSS) for Detainee Operations and Intelligence Interrogations &lt;/td&gt; &lt;/tr&gt;</v>
      </c>
    </row>
    <row r="262" spans="1:9" x14ac:dyDescent="0.25">
      <c r="A262" t="s">
        <v>944</v>
      </c>
      <c r="B262" t="s">
        <v>846</v>
      </c>
      <c r="C262" t="str">
        <f t="shared" si="12"/>
        <v>3000.04</v>
      </c>
      <c r="D262" t="s">
        <v>1157</v>
      </c>
      <c r="E262" s="2">
        <v>43343</v>
      </c>
      <c r="G262" t="s">
        <v>262</v>
      </c>
      <c r="H262" t="str">
        <f t="shared" si="13"/>
        <v>https://federallibrary.us/DOD/DODI/3000.04/CURRENT/TITLE.html</v>
      </c>
      <c r="I262" t="str">
        <f t="shared" si="14"/>
        <v>&lt;tr&gt; &lt;td&gt; &lt;a href=https://federallibrary.us/DOD/DODI/3000.04/CURRENT/TITLE.html&gt; DODI 3000.04&lt;/a&gt; &lt;/td&gt; &lt;td&gt; DoD Munitions Requirements Process (MRP) &lt;/td&gt; &lt;/tr&gt;</v>
      </c>
    </row>
    <row r="263" spans="1:9" x14ac:dyDescent="0.25">
      <c r="A263">
        <v>3000</v>
      </c>
      <c r="B263" t="s">
        <v>865</v>
      </c>
      <c r="C263" t="str">
        <f t="shared" si="12"/>
        <v>3000.08</v>
      </c>
      <c r="D263" t="s">
        <v>1157</v>
      </c>
      <c r="E263" s="2">
        <v>43343</v>
      </c>
      <c r="G263" t="s">
        <v>263</v>
      </c>
      <c r="H263" t="str">
        <f t="shared" si="13"/>
        <v>https://federallibrary.us/DOD/DODI/3000.08/CURRENT/TITLE.html</v>
      </c>
      <c r="I263" t="str">
        <f t="shared" si="14"/>
        <v>&lt;tr&gt; &lt;td&gt; &lt;a href=https://federallibrary.us/DOD/DODI/3000.08/CURRENT/TITLE.html&gt; DODI 3000.08&lt;/a&gt; &lt;/td&gt; &lt;td&gt; Balanced Survivability Assessments (BSAs) &lt;/td&gt; &lt;/tr&gt;</v>
      </c>
    </row>
    <row r="264" spans="1:9" x14ac:dyDescent="0.25">
      <c r="A264" t="s">
        <v>944</v>
      </c>
      <c r="B264" t="s">
        <v>847</v>
      </c>
      <c r="C264" t="str">
        <f t="shared" si="12"/>
        <v>3000.11</v>
      </c>
      <c r="D264" t="s">
        <v>1157</v>
      </c>
      <c r="E264" s="2">
        <v>42493</v>
      </c>
      <c r="G264" t="s">
        <v>264</v>
      </c>
      <c r="H264" t="str">
        <f t="shared" si="13"/>
        <v>https://federallibrary.us/DOD/DODI/3000.11/CURRENT/TITLE.html</v>
      </c>
      <c r="I264" t="str">
        <f t="shared" si="14"/>
        <v>&lt;tr&gt; &lt;td&gt; &lt;a href=https://federallibrary.us/DOD/DODI/3000.11/CURRENT/TITLE.html&gt; DODI 3000.11&lt;/a&gt; &lt;/td&gt; &lt;td&gt; Management of DoD Irregular Warfare (IW) and Security Force Assistance (SFA) Capabilities &lt;/td&gt; &lt;/tr&gt;</v>
      </c>
    </row>
    <row r="265" spans="1:9" x14ac:dyDescent="0.25">
      <c r="A265" t="s">
        <v>944</v>
      </c>
      <c r="B265" t="s">
        <v>886</v>
      </c>
      <c r="C265" t="str">
        <f t="shared" si="12"/>
        <v>3000.12</v>
      </c>
      <c r="D265" t="s">
        <v>1157</v>
      </c>
      <c r="E265" s="2">
        <v>42863</v>
      </c>
      <c r="G265" t="s">
        <v>265</v>
      </c>
      <c r="H265" t="str">
        <f t="shared" si="13"/>
        <v>https://federallibrary.us/DOD/DODI/3000.12/CURRENT/TITLE.html</v>
      </c>
      <c r="I265" t="str">
        <f t="shared" si="14"/>
        <v>&lt;tr&gt; &lt;td&gt; &lt;a href=https://federallibrary.us/DOD/DODI/3000.12/CURRENT/TITLE.html&gt; DODI 3000.12&lt;/a&gt; &lt;/td&gt; &lt;td&gt; Management of U.S. Global Defense Posture (GDP) &lt;/td&gt; &lt;/tr&gt;</v>
      </c>
    </row>
    <row r="266" spans="1:9" x14ac:dyDescent="0.25">
      <c r="A266">
        <v>3000</v>
      </c>
      <c r="B266" t="s">
        <v>848</v>
      </c>
      <c r="C266" t="str">
        <f t="shared" si="12"/>
        <v>3000.13</v>
      </c>
      <c r="D266" t="s">
        <v>1157</v>
      </c>
      <c r="E266" s="2">
        <v>42829</v>
      </c>
      <c r="G266" t="s">
        <v>266</v>
      </c>
      <c r="H266" t="str">
        <f t="shared" si="13"/>
        <v>https://federallibrary.us/DOD/DODI/3000.13/CURRENT/TITLE.html</v>
      </c>
      <c r="I266" t="str">
        <f t="shared" si="14"/>
        <v>&lt;tr&gt; &lt;td&gt; &lt;a href=https://federallibrary.us/DOD/DODI/3000.13/CURRENT/TITLE.html&gt; DODI 3000.13&lt;/a&gt; &lt;/td&gt; &lt;td&gt; DoD Rewards Program (DoDRP) &lt;/td&gt; &lt;/tr&gt;</v>
      </c>
    </row>
    <row r="267" spans="1:9" x14ac:dyDescent="0.25">
      <c r="A267" t="s">
        <v>944</v>
      </c>
      <c r="B267" t="s">
        <v>859</v>
      </c>
      <c r="C267" t="str">
        <f t="shared" si="12"/>
        <v>3000.14</v>
      </c>
      <c r="D267" t="s">
        <v>1157</v>
      </c>
      <c r="E267" s="2">
        <v>44071</v>
      </c>
      <c r="G267" t="s">
        <v>267</v>
      </c>
      <c r="H267" t="str">
        <f t="shared" si="13"/>
        <v>https://federallibrary.us/DOD/DODI/3000.14/CURRENT/TITLE.html</v>
      </c>
      <c r="I267" t="str">
        <f t="shared" si="14"/>
        <v>&lt;tr&gt; &lt;td&gt; &lt;a href=https://federallibrary.us/DOD/DODI/3000.14/CURRENT/TITLE.html&gt; DODI 3000.14&lt;/a&gt; &lt;/td&gt; &lt;td&gt; DoD Counterdrug and Counter-Transnational Organized Crime Policy &lt;/td&gt; &lt;/tr&gt;</v>
      </c>
    </row>
    <row r="268" spans="1:9" x14ac:dyDescent="0.25">
      <c r="A268" t="s">
        <v>944</v>
      </c>
      <c r="B268" t="s">
        <v>849</v>
      </c>
      <c r="C268" t="str">
        <f t="shared" si="12"/>
        <v>3000.15</v>
      </c>
      <c r="D268" t="s">
        <v>1157</v>
      </c>
      <c r="E268" s="2">
        <v>44138</v>
      </c>
      <c r="G268" t="s">
        <v>268</v>
      </c>
      <c r="H268" t="str">
        <f t="shared" si="13"/>
        <v>https://federallibrary.us/DOD/DODI/3000.15/CURRENT/TITLE.html</v>
      </c>
      <c r="I268" t="str">
        <f t="shared" si="14"/>
        <v>&lt;tr&gt; &lt;td&gt; &lt;a href=https://federallibrary.us/DOD/DODI/3000.15/CURRENT/TITLE.html&gt; DODI 3000.15&lt;/a&gt; &lt;/td&gt; &lt;td&gt; Plan Review and Approval Process &lt;/td&gt; &lt;/tr&gt;</v>
      </c>
    </row>
    <row r="269" spans="1:9" x14ac:dyDescent="0.25">
      <c r="A269" t="s">
        <v>944</v>
      </c>
      <c r="B269" t="s">
        <v>850</v>
      </c>
      <c r="C269" t="str">
        <f t="shared" si="12"/>
        <v>3000.17</v>
      </c>
      <c r="D269" t="s">
        <v>1157</v>
      </c>
      <c r="E269" s="2">
        <v>45281</v>
      </c>
      <c r="G269" t="s">
        <v>269</v>
      </c>
      <c r="H269" t="str">
        <f t="shared" si="13"/>
        <v>https://federallibrary.us/DOD/DODI/3000.17/CURRENT/TITLE.html</v>
      </c>
      <c r="I269" t="str">
        <f t="shared" si="14"/>
        <v>&lt;tr&gt; &lt;td&gt; &lt;a href=https://federallibrary.us/DOD/DODI/3000.17/CURRENT/TITLE.html&gt; DODI 3000.17&lt;/a&gt; &lt;/td&gt; &lt;td&gt; Civilian Harm Mitigation and Response &lt;/td&gt; &lt;/tr&gt;</v>
      </c>
    </row>
    <row r="270" spans="1:9" x14ac:dyDescent="0.25">
      <c r="A270" t="s">
        <v>944</v>
      </c>
      <c r="B270" t="s">
        <v>884</v>
      </c>
      <c r="C270" t="str">
        <f t="shared" si="12"/>
        <v>3000.18</v>
      </c>
      <c r="D270" t="s">
        <v>1157</v>
      </c>
      <c r="E270" s="2">
        <v>45260</v>
      </c>
      <c r="G270" t="s">
        <v>270</v>
      </c>
      <c r="H270" t="str">
        <f t="shared" si="13"/>
        <v>https://federallibrary.us/DOD/DODI/3000.18/CURRENT/TITLE.html</v>
      </c>
      <c r="I270" t="str">
        <f t="shared" si="14"/>
        <v>&lt;tr&gt; &lt;td&gt; &lt;a href=https://federallibrary.us/DOD/DODI/3000.18/CURRENT/TITLE.html&gt; DODI 3000.18&lt;/a&gt; &lt;/td&gt; &lt;td&gt;  Strategic Readiness &lt;/td&gt; &lt;/tr&gt;</v>
      </c>
    </row>
    <row r="271" spans="1:9" x14ac:dyDescent="0.25">
      <c r="A271" t="s">
        <v>945</v>
      </c>
      <c r="B271" t="s">
        <v>870</v>
      </c>
      <c r="C271" t="str">
        <f t="shared" si="12"/>
        <v>3001.02</v>
      </c>
      <c r="D271" t="s">
        <v>1157</v>
      </c>
      <c r="E271" s="2">
        <v>40301</v>
      </c>
      <c r="G271" t="s">
        <v>271</v>
      </c>
      <c r="H271" t="str">
        <f t="shared" si="13"/>
        <v>https://federallibrary.us/DOD/DODI/3001.02/CURRENT/TITLE.html</v>
      </c>
      <c r="I271" t="str">
        <f t="shared" si="14"/>
        <v>&lt;tr&gt; &lt;td&gt; &lt;a href=https://federallibrary.us/DOD/DODI/3001.02/CURRENT/TITLE.html&gt; DODI 3001.02&lt;/a&gt; &lt;/td&gt; &lt;td&gt; Personnel Accountability in Conjunction with Natural or Manmade Disasters &lt;/td&gt; &lt;/tr&gt;</v>
      </c>
    </row>
    <row r="272" spans="1:9" x14ac:dyDescent="0.25">
      <c r="A272" t="s">
        <v>946</v>
      </c>
      <c r="B272" t="s">
        <v>870</v>
      </c>
      <c r="C272" t="str">
        <f t="shared" si="12"/>
        <v>3002.02</v>
      </c>
      <c r="D272" t="s">
        <v>1157</v>
      </c>
      <c r="E272" s="2">
        <v>44966</v>
      </c>
      <c r="G272" t="s">
        <v>272</v>
      </c>
      <c r="H272" t="str">
        <f t="shared" si="13"/>
        <v>https://federallibrary.us/DOD/DODI/3002.02/CURRENT/TITLE.html</v>
      </c>
      <c r="I272" t="str">
        <f t="shared" si="14"/>
        <v>&lt;tr&gt; &lt;td&gt; &lt;a href=https://federallibrary.us/DOD/DODI/3002.02/CURRENT/TITLE.html&gt; DODI 3002.02&lt;/a&gt; &lt;/td&gt; &lt;td&gt; 406  MHz Emergency Beacons and Other Emergency Reporting Devices in the Department of Defense in Support of Personnel Recovery and Search and Rescue &lt;/td&gt; &lt;/tr&gt;</v>
      </c>
    </row>
    <row r="273" spans="1:9" x14ac:dyDescent="0.25">
      <c r="A273" t="s">
        <v>946</v>
      </c>
      <c r="B273" t="s">
        <v>867</v>
      </c>
      <c r="C273" t="str">
        <f t="shared" si="12"/>
        <v>3002.03</v>
      </c>
      <c r="D273" t="s">
        <v>1157</v>
      </c>
      <c r="E273" s="2">
        <v>42486</v>
      </c>
      <c r="G273" t="s">
        <v>273</v>
      </c>
      <c r="H273" t="str">
        <f t="shared" si="13"/>
        <v>https://federallibrary.us/DOD/DODI/3002.03/CURRENT/TITLE.html</v>
      </c>
      <c r="I273" t="str">
        <f t="shared" si="14"/>
        <v>&lt;tr&gt; &lt;td&gt; &lt;a href=https://federallibrary.us/DOD/DODI/3002.03/CURRENT/TITLE.html&gt; DODI 3002.03&lt;/a&gt; &lt;/td&gt; &lt;td&gt; DoD Personnel Recovery - Reintegration of Recovered Personnel &lt;/td&gt; &lt;/tr&gt;</v>
      </c>
    </row>
    <row r="274" spans="1:9" x14ac:dyDescent="0.25">
      <c r="A274" t="s">
        <v>946</v>
      </c>
      <c r="B274" t="s">
        <v>846</v>
      </c>
      <c r="C274" t="str">
        <f t="shared" si="12"/>
        <v>3002.04</v>
      </c>
      <c r="D274" t="s">
        <v>1157</v>
      </c>
      <c r="E274" s="2">
        <v>42487</v>
      </c>
      <c r="G274" t="s">
        <v>274</v>
      </c>
      <c r="H274" t="str">
        <f t="shared" si="13"/>
        <v>https://federallibrary.us/DOD/DODI/3002.04/CURRENT/TITLE.html</v>
      </c>
      <c r="I274" t="str">
        <f t="shared" si="14"/>
        <v>&lt;tr&gt; &lt;td&gt; &lt;a href=https://federallibrary.us/DOD/DODI/3002.04/CURRENT/TITLE.html&gt; DODI 3002.04&lt;/a&gt; &lt;/td&gt; &lt;td&gt; DoD Personnel Recovery - Non-conventional Assisted Recovery (NAR) &lt;/td&gt; &lt;/tr&gt;</v>
      </c>
    </row>
    <row r="275" spans="1:9" x14ac:dyDescent="0.25">
      <c r="A275">
        <v>3002</v>
      </c>
      <c r="B275" t="s">
        <v>868</v>
      </c>
      <c r="C275" t="str">
        <f t="shared" si="12"/>
        <v>3002.05</v>
      </c>
      <c r="D275" t="s">
        <v>1157</v>
      </c>
      <c r="E275" s="2">
        <v>42472</v>
      </c>
      <c r="G275" t="s">
        <v>275</v>
      </c>
      <c r="H275" t="str">
        <f t="shared" si="13"/>
        <v>https://federallibrary.us/DOD/DODI/3002.05/CURRENT/TITLE.html</v>
      </c>
      <c r="I275" t="str">
        <f t="shared" si="14"/>
        <v>&lt;tr&gt; &lt;td&gt; &lt;a href=https://federallibrary.us/DOD/DODI/3002.05/CURRENT/TITLE.html&gt; DODI 3002.05&lt;/a&gt; &lt;/td&gt; &lt;td&gt; Personnel Recovery (PR) Education and Training &lt;/td&gt; &lt;/tr&gt;</v>
      </c>
    </row>
    <row r="276" spans="1:9" x14ac:dyDescent="0.25">
      <c r="A276" t="s">
        <v>947</v>
      </c>
      <c r="B276" t="s">
        <v>845</v>
      </c>
      <c r="C276" t="str">
        <f t="shared" si="12"/>
        <v>3003.01</v>
      </c>
      <c r="D276" t="s">
        <v>1157</v>
      </c>
      <c r="E276" s="2">
        <v>42867</v>
      </c>
      <c r="G276" t="s">
        <v>276</v>
      </c>
      <c r="H276" t="str">
        <f t="shared" si="13"/>
        <v>https://federallibrary.us/DOD/DODI/3003.01/CURRENT/TITLE.html</v>
      </c>
      <c r="I276" t="str">
        <f t="shared" si="14"/>
        <v>&lt;tr&gt; &lt;td&gt; &lt;a href=https://federallibrary.us/DOD/DODI/3003.01/CURRENT/TITLE.html&gt; DODI 3003.01&lt;/a&gt; &lt;/td&gt; &lt;td&gt; DoD Support to Civil Search and Rescue (SAR) &lt;/td&gt; &lt;/tr&gt;</v>
      </c>
    </row>
    <row r="277" spans="1:9" x14ac:dyDescent="0.25">
      <c r="A277" t="s">
        <v>948</v>
      </c>
      <c r="B277" t="s">
        <v>949</v>
      </c>
      <c r="C277" t="str">
        <f t="shared" si="12"/>
        <v>3020.39</v>
      </c>
      <c r="D277" t="s">
        <v>1157</v>
      </c>
      <c r="E277" s="2">
        <v>44095</v>
      </c>
      <c r="G277" t="s">
        <v>277</v>
      </c>
      <c r="H277" t="str">
        <f t="shared" si="13"/>
        <v>https://federallibrary.us/DOD/DODI/3020.39/CURRENT/TITLE.html</v>
      </c>
      <c r="I277" t="str">
        <f t="shared" si="14"/>
        <v>&lt;tr&gt; &lt;td&gt; &lt;a href=https://federallibrary.us/DOD/DODI/3020.39/CURRENT/TITLE.html&gt; DODI 3020.39&lt;/a&gt; &lt;/td&gt; &lt;td&gt; Mission Assurance Policy for the Defense Intelligence Enterprise (DIE) &lt;/td&gt; &lt;/tr&gt;</v>
      </c>
    </row>
    <row r="278" spans="1:9" x14ac:dyDescent="0.25">
      <c r="A278" t="s">
        <v>948</v>
      </c>
      <c r="B278" t="s">
        <v>950</v>
      </c>
      <c r="C278" t="str">
        <f t="shared" si="12"/>
        <v>3020.41</v>
      </c>
      <c r="D278" t="s">
        <v>1157</v>
      </c>
      <c r="E278" s="2">
        <v>43343</v>
      </c>
      <c r="G278" t="s">
        <v>278</v>
      </c>
      <c r="H278" t="str">
        <f t="shared" si="13"/>
        <v>https://federallibrary.us/DOD/DODI/3020.41/CURRENT/TITLE.html</v>
      </c>
      <c r="I278" t="str">
        <f t="shared" si="14"/>
        <v>&lt;tr&gt; &lt;td&gt; &lt;a href=https://federallibrary.us/DOD/DODI/3020.41/CURRENT/TITLE.html&gt; DODI 3020.41&lt;/a&gt; &lt;/td&gt; &lt;td&gt; Operational Contract Support (OCS) &lt;/td&gt; &lt;/tr&gt;</v>
      </c>
    </row>
    <row r="279" spans="1:9" x14ac:dyDescent="0.25">
      <c r="A279" t="s">
        <v>948</v>
      </c>
      <c r="B279" t="s">
        <v>912</v>
      </c>
      <c r="C279" t="str">
        <f t="shared" si="12"/>
        <v>3020.42</v>
      </c>
      <c r="D279" t="s">
        <v>1157</v>
      </c>
      <c r="E279" s="2">
        <v>38765</v>
      </c>
      <c r="G279" t="s">
        <v>279</v>
      </c>
      <c r="H279" t="str">
        <f t="shared" si="13"/>
        <v>https://federallibrary.us/DOD/DODI/3020.42/CURRENT/TITLE.html</v>
      </c>
      <c r="I279" t="str">
        <f t="shared" si="14"/>
        <v>&lt;tr&gt; &lt;td&gt; &lt;a href=https://federallibrary.us/DOD/DODI/3020.42/CURRENT/TITLE.html&gt; DODI 3020.42&lt;/a&gt; &lt;/td&gt; &lt;td&gt; Defense Continuity Plan Development &lt;/td&gt; &lt;/tr&gt;</v>
      </c>
    </row>
    <row r="280" spans="1:9" x14ac:dyDescent="0.25">
      <c r="A280">
        <v>3020</v>
      </c>
      <c r="B280" t="s">
        <v>913</v>
      </c>
      <c r="C280" t="str">
        <f t="shared" si="12"/>
        <v>3020.43</v>
      </c>
      <c r="D280" t="s">
        <v>1157</v>
      </c>
      <c r="E280" s="2">
        <v>39147</v>
      </c>
      <c r="G280" t="s">
        <v>280</v>
      </c>
      <c r="H280" t="str">
        <f t="shared" si="13"/>
        <v>https://federallibrary.us/DOD/DODI/3020.43/CURRENT/TITLE.html</v>
      </c>
      <c r="I280" t="str">
        <f t="shared" si="14"/>
        <v>&lt;tr&gt; &lt;td&gt; &lt;a href=https://federallibrary.us/DOD/DODI/3020.43/CURRENT/TITLE.html&gt; DODI 3020.43&lt;/a&gt; &lt;/td&gt; &lt;td&gt; Emergency Management and Incident Command on the Pentagon Facilities &lt;/td&gt; &lt;/tr&gt;</v>
      </c>
    </row>
    <row r="281" spans="1:9" x14ac:dyDescent="0.25">
      <c r="A281" t="s">
        <v>948</v>
      </c>
      <c r="B281" t="s">
        <v>914</v>
      </c>
      <c r="C281" t="str">
        <f t="shared" si="12"/>
        <v>3020.45</v>
      </c>
      <c r="D281" t="s">
        <v>1157</v>
      </c>
      <c r="E281" s="2">
        <v>44683</v>
      </c>
      <c r="G281" t="s">
        <v>281</v>
      </c>
      <c r="H281" t="str">
        <f t="shared" si="13"/>
        <v>https://federallibrary.us/DOD/DODI/3020.45/CURRENT/TITLE.html</v>
      </c>
      <c r="I281" t="str">
        <f t="shared" si="14"/>
        <v>&lt;tr&gt; &lt;td&gt; &lt;a href=https://federallibrary.us/DOD/DODI/3020.45/CURRENT/TITLE.html&gt; DODI 3020.45&lt;/a&gt; &lt;/td&gt; &lt;td&gt; Mission Assurance Construct &lt;/td&gt; &lt;/tr&gt;</v>
      </c>
    </row>
    <row r="282" spans="1:9" x14ac:dyDescent="0.25">
      <c r="A282" t="s">
        <v>948</v>
      </c>
      <c r="B282" t="s">
        <v>951</v>
      </c>
      <c r="C282" t="str">
        <f t="shared" si="12"/>
        <v>3020.47</v>
      </c>
      <c r="D282" t="s">
        <v>1157</v>
      </c>
      <c r="E282" s="2">
        <v>43494</v>
      </c>
      <c r="G282" t="s">
        <v>282</v>
      </c>
      <c r="H282" t="str">
        <f t="shared" si="13"/>
        <v>https://federallibrary.us/DOD/DODI/3020.47/CURRENT/TITLE.html</v>
      </c>
      <c r="I282" t="str">
        <f t="shared" si="14"/>
        <v>&lt;tr&gt; &lt;td&gt; &lt;a href=https://federallibrary.us/DOD/DODI/3020.47/CURRENT/TITLE.html&gt; DODI 3020.47&lt;/a&gt; &lt;/td&gt; &lt;td&gt; DoD Participation in the National Exercise Program (NEP) &lt;/td&gt; &lt;/tr&gt;</v>
      </c>
    </row>
    <row r="283" spans="1:9" x14ac:dyDescent="0.25">
      <c r="A283" t="s">
        <v>948</v>
      </c>
      <c r="B283" t="s">
        <v>952</v>
      </c>
      <c r="C283" t="str">
        <f t="shared" si="12"/>
        <v>3020.48</v>
      </c>
      <c r="D283" t="s">
        <v>1157</v>
      </c>
      <c r="E283" s="2">
        <v>42867</v>
      </c>
      <c r="G283" t="s">
        <v>283</v>
      </c>
      <c r="H283" t="str">
        <f t="shared" si="13"/>
        <v>https://federallibrary.us/DOD/DODI/3020.48/CURRENT/TITLE.html</v>
      </c>
      <c r="I283" t="str">
        <f t="shared" si="14"/>
        <v>&lt;tr&gt; &lt;td&gt; &lt;a href=https://federallibrary.us/DOD/DODI/3020.48/CURRENT/TITLE.html&gt; DODI 3020.48&lt;/a&gt; &lt;/td&gt; &lt;td&gt; Guidance for Maritime Operational Threat Response (MOTR)-Related Conferencing Coordination Activities Implementation &lt;/td&gt; &lt;/tr&gt;</v>
      </c>
    </row>
    <row r="284" spans="1:9" x14ac:dyDescent="0.25">
      <c r="A284" t="s">
        <v>948</v>
      </c>
      <c r="B284" t="s">
        <v>953</v>
      </c>
      <c r="C284" t="str">
        <f t="shared" si="12"/>
        <v>3020.50</v>
      </c>
      <c r="D284" t="s">
        <v>1157</v>
      </c>
      <c r="E284" s="2">
        <v>44847</v>
      </c>
      <c r="G284" t="s">
        <v>284</v>
      </c>
      <c r="H284" t="str">
        <f t="shared" si="13"/>
        <v>https://federallibrary.us/DOD/DODI/3020.50/CURRENT/TITLE.html</v>
      </c>
      <c r="I284" t="str">
        <f t="shared" si="14"/>
        <v>&lt;tr&gt; &lt;td&gt; &lt;a href=https://federallibrary.us/DOD/DODI/3020.50/CURRENT/TITLE.html&gt; DODI 3020.50&lt;/a&gt; &lt;/td&gt; &lt;td&gt; Private Security Contractors Operating in Contingency Operations, Humanitarian or Peace Operations, or Other Military Operations or Exercises &lt;/td&gt; &lt;/tr&gt;</v>
      </c>
    </row>
    <row r="285" spans="1:9" x14ac:dyDescent="0.25">
      <c r="A285" t="s">
        <v>948</v>
      </c>
      <c r="B285" t="s">
        <v>954</v>
      </c>
      <c r="C285" t="str">
        <f t="shared" si="12"/>
        <v>3020.51</v>
      </c>
      <c r="D285" t="s">
        <v>1157</v>
      </c>
      <c r="E285" s="2">
        <v>44021</v>
      </c>
      <c r="G285" t="s">
        <v>285</v>
      </c>
      <c r="H285" t="str">
        <f t="shared" si="13"/>
        <v>https://federallibrary.us/DOD/DODI/3020.51/CURRENT/TITLE.html</v>
      </c>
      <c r="I285" t="str">
        <f t="shared" si="14"/>
        <v>&lt;tr&gt; &lt;td&gt; &lt;a href=https://federallibrary.us/DOD/DODI/3020.51/CURRENT/TITLE.html&gt; DODI 3020.51&lt;/a&gt; &lt;/td&gt; &lt;td&gt; Intelligence Support to the Defense Critical Infrastructure Program (DCIP) &lt;/td&gt; &lt;/tr&gt;</v>
      </c>
    </row>
    <row r="286" spans="1:9" x14ac:dyDescent="0.25">
      <c r="A286" t="s">
        <v>948</v>
      </c>
      <c r="B286" t="s">
        <v>955</v>
      </c>
      <c r="C286" t="str">
        <f t="shared" si="12"/>
        <v>3020.52</v>
      </c>
      <c r="D286" t="s">
        <v>1157</v>
      </c>
      <c r="E286" s="2">
        <v>42877</v>
      </c>
      <c r="G286" t="s">
        <v>286</v>
      </c>
      <c r="H286" t="str">
        <f t="shared" si="13"/>
        <v>https://federallibrary.us/DOD/DODI/3020.52/CURRENT/TITLE.html</v>
      </c>
      <c r="I286" t="str">
        <f t="shared" si="14"/>
        <v>&lt;tr&gt; &lt;td&gt; &lt;a href=https://federallibrary.us/DOD/DODI/3020.52/CURRENT/TITLE.html&gt; DODI 3020.52&lt;/a&gt; &lt;/td&gt; &lt;td&gt; DoD Installation Chemical, Biological, Radiological, Nuclear, and High-Yield Explosive (CBRNE) Preparedness Standards &lt;/td&gt; &lt;/tr&gt;</v>
      </c>
    </row>
    <row r="287" spans="1:9" x14ac:dyDescent="0.25">
      <c r="A287" t="s">
        <v>956</v>
      </c>
      <c r="B287" t="s">
        <v>860</v>
      </c>
      <c r="C287" t="str">
        <f t="shared" si="12"/>
        <v>3025.16</v>
      </c>
      <c r="D287" t="s">
        <v>1157</v>
      </c>
      <c r="E287" s="2">
        <v>42863</v>
      </c>
      <c r="G287" t="s">
        <v>287</v>
      </c>
      <c r="H287" t="str">
        <f t="shared" si="13"/>
        <v>https://federallibrary.us/DOD/DODI/3025.16/CURRENT/TITLE.html</v>
      </c>
      <c r="I287" t="str">
        <f t="shared" si="14"/>
        <v>&lt;tr&gt; &lt;td&gt; &lt;a href=https://federallibrary.us/DOD/DODI/3025.16/CURRENT/TITLE.html&gt; DODI 3025.16&lt;/a&gt; &lt;/td&gt; &lt;td&gt; Defense Emergency Preparedness Liaison Officer (EPLO) Programs &lt;/td&gt; &lt;/tr&gt;</v>
      </c>
    </row>
    <row r="288" spans="1:9" x14ac:dyDescent="0.25">
      <c r="A288" t="s">
        <v>956</v>
      </c>
      <c r="B288" t="s">
        <v>850</v>
      </c>
      <c r="C288" t="str">
        <f t="shared" si="12"/>
        <v>3025.17</v>
      </c>
      <c r="D288" t="s">
        <v>1157</v>
      </c>
      <c r="E288" s="2">
        <v>44434</v>
      </c>
      <c r="G288" t="s">
        <v>288</v>
      </c>
      <c r="H288" t="str">
        <f t="shared" si="13"/>
        <v>https://federallibrary.us/DOD/DODI/3025.17/CURRENT/TITLE.html</v>
      </c>
      <c r="I288" t="str">
        <f t="shared" si="14"/>
        <v>&lt;tr&gt; &lt;td&gt; &lt;a href=https://federallibrary.us/DOD/DODI/3025.17/CURRENT/TITLE.html&gt; DODI 3025.17&lt;/a&gt; &lt;/td&gt; &lt;td&gt; Civil-Military Assistance for Certain Youth and Charitable Organizations &lt;/td&gt; &lt;/tr&gt;</v>
      </c>
    </row>
    <row r="289" spans="1:9" x14ac:dyDescent="0.25">
      <c r="A289" t="s">
        <v>956</v>
      </c>
      <c r="B289" t="s">
        <v>893</v>
      </c>
      <c r="C289" t="str">
        <f t="shared" si="12"/>
        <v>3025.19</v>
      </c>
      <c r="D289" t="s">
        <v>1157</v>
      </c>
      <c r="E289" s="2">
        <v>42807</v>
      </c>
      <c r="G289" t="s">
        <v>289</v>
      </c>
      <c r="H289" t="str">
        <f t="shared" si="13"/>
        <v>https://federallibrary.us/DOD/DODI/3025.19/CURRENT/TITLE.html</v>
      </c>
      <c r="I289" t="str">
        <f t="shared" si="14"/>
        <v>&lt;tr&gt; &lt;td&gt; &lt;a href=https://federallibrary.us/DOD/DODI/3025.19/CURRENT/TITLE.html&gt; DODI 3025.19&lt;/a&gt; &lt;/td&gt; &lt;td&gt; Procedures for Sharing Information with and Providing Support to the U.S. Secret Service (USSS), Department of Homeland Security (DHS) &lt;/td&gt; &lt;/tr&gt;</v>
      </c>
    </row>
    <row r="290" spans="1:9" x14ac:dyDescent="0.25">
      <c r="A290" t="s">
        <v>956</v>
      </c>
      <c r="B290" t="s">
        <v>905</v>
      </c>
      <c r="C290" t="str">
        <f t="shared" si="12"/>
        <v>3025.20</v>
      </c>
      <c r="D290" t="s">
        <v>1157</v>
      </c>
      <c r="E290" s="2">
        <v>42879</v>
      </c>
      <c r="G290" t="s">
        <v>290</v>
      </c>
      <c r="H290" t="str">
        <f t="shared" si="13"/>
        <v>https://federallibrary.us/DOD/DODI/3025.20/CURRENT/TITLE.html</v>
      </c>
      <c r="I290" t="str">
        <f t="shared" si="14"/>
        <v>&lt;tr&gt; &lt;td&gt; &lt;a href=https://federallibrary.us/DOD/DODI/3025.20/CURRENT/TITLE.html&gt; DODI 3025.20&lt;/a&gt; &lt;/td&gt; &lt;td&gt; Defense Support of Special Events &lt;/td&gt; &lt;/tr&gt;</v>
      </c>
    </row>
    <row r="291" spans="1:9" x14ac:dyDescent="0.25">
      <c r="A291" t="s">
        <v>956</v>
      </c>
      <c r="B291" t="s">
        <v>875</v>
      </c>
      <c r="C291" t="str">
        <f t="shared" si="12"/>
        <v>3025.21</v>
      </c>
      <c r="D291" t="s">
        <v>1157</v>
      </c>
      <c r="E291" s="2">
        <v>43504</v>
      </c>
      <c r="G291" t="s">
        <v>291</v>
      </c>
      <c r="H291" t="str">
        <f t="shared" si="13"/>
        <v>https://federallibrary.us/DOD/DODI/3025.21/CURRENT/TITLE.html</v>
      </c>
      <c r="I291" t="str">
        <f t="shared" si="14"/>
        <v>&lt;tr&gt; &lt;td&gt; &lt;a href=https://federallibrary.us/DOD/DODI/3025.21/CURRENT/TITLE.html&gt; DODI 3025.21&lt;/a&gt; &lt;/td&gt; &lt;td&gt; Defense Support of Civilian Law Enforcement Agencies &lt;/td&gt; &lt;/tr&gt;</v>
      </c>
    </row>
    <row r="292" spans="1:9" x14ac:dyDescent="0.25">
      <c r="A292" t="s">
        <v>956</v>
      </c>
      <c r="B292" t="s">
        <v>876</v>
      </c>
      <c r="C292" t="str">
        <f t="shared" si="12"/>
        <v>3025.22</v>
      </c>
      <c r="D292" t="s">
        <v>1157</v>
      </c>
      <c r="E292" s="2">
        <v>42870</v>
      </c>
      <c r="G292" t="s">
        <v>292</v>
      </c>
      <c r="H292" t="str">
        <f t="shared" si="13"/>
        <v>https://federallibrary.us/DOD/DODI/3025.22/CURRENT/TITLE.html</v>
      </c>
      <c r="I292" t="str">
        <f t="shared" si="14"/>
        <v>&lt;tr&gt; &lt;td&gt; &lt;a href=https://federallibrary.us/DOD/DODI/3025.22/CURRENT/TITLE.html&gt; DODI 3025.22&lt;/a&gt; &lt;/td&gt; &lt;td&gt; The Use of the National Guard for Defense Support of Civil Authorities &lt;/td&gt; &lt;/tr&gt;</v>
      </c>
    </row>
    <row r="293" spans="1:9" x14ac:dyDescent="0.25">
      <c r="A293" t="s">
        <v>956</v>
      </c>
      <c r="B293" t="s">
        <v>877</v>
      </c>
      <c r="C293" t="str">
        <f t="shared" si="12"/>
        <v>3025.23</v>
      </c>
      <c r="D293" t="s">
        <v>1157</v>
      </c>
      <c r="E293" s="2">
        <v>42515</v>
      </c>
      <c r="G293" t="s">
        <v>293</v>
      </c>
      <c r="H293" t="str">
        <f t="shared" si="13"/>
        <v>https://federallibrary.us/DOD/DODI/3025.23/CURRENT/TITLE.html</v>
      </c>
      <c r="I293" t="str">
        <f t="shared" si="14"/>
        <v>&lt;tr&gt; &lt;td&gt; &lt;a href=https://federallibrary.us/DOD/DODI/3025.23/CURRENT/TITLE.html&gt; DODI 3025.23&lt;/a&gt; &lt;/td&gt; &lt;td&gt; Domestic Defense Liaison with Civil Authorities &lt;/td&gt; &lt;/tr&gt;</v>
      </c>
    </row>
    <row r="294" spans="1:9" x14ac:dyDescent="0.25">
      <c r="A294" t="s">
        <v>956</v>
      </c>
      <c r="B294" t="s">
        <v>878</v>
      </c>
      <c r="C294" t="str">
        <f t="shared" si="12"/>
        <v>3025.24</v>
      </c>
      <c r="D294" t="s">
        <v>1157</v>
      </c>
      <c r="E294" s="2">
        <v>42765</v>
      </c>
      <c r="G294" t="s">
        <v>294</v>
      </c>
      <c r="H294" t="str">
        <f t="shared" si="13"/>
        <v>https://federallibrary.us/DOD/DODI/3025.24/CURRENT/TITLE.html</v>
      </c>
      <c r="I294" t="str">
        <f t="shared" si="14"/>
        <v>&lt;tr&gt; &lt;td&gt; &lt;a href=https://federallibrary.us/DOD/DODI/3025.24/CURRENT/TITLE.html&gt; DODI 3025.24&lt;/a&gt; &lt;/td&gt; &lt;td&gt; DoD Public Health and Medical Services in Support of Civil Authorities &lt;/td&gt; &lt;/tr&gt;</v>
      </c>
    </row>
    <row r="295" spans="1:9" x14ac:dyDescent="0.25">
      <c r="A295" t="s">
        <v>957</v>
      </c>
      <c r="B295" t="s">
        <v>867</v>
      </c>
      <c r="C295" t="str">
        <f t="shared" si="12"/>
        <v>3030.03</v>
      </c>
      <c r="D295" t="s">
        <v>1157</v>
      </c>
      <c r="E295" s="2">
        <v>43343</v>
      </c>
      <c r="G295" t="s">
        <v>295</v>
      </c>
      <c r="H295" t="str">
        <f t="shared" si="13"/>
        <v>https://federallibrary.us/DOD/DODI/3030.03/CURRENT/TITLE.html</v>
      </c>
      <c r="I295" t="str">
        <f t="shared" si="14"/>
        <v>&lt;tr&gt; &lt;td&gt; &lt;a href=https://federallibrary.us/DOD/DODI/3030.03/CURRENT/TITLE.html&gt; DODI 3030.03&lt;/a&gt; &lt;/td&gt; &lt;td&gt; Joint Land Use Study (JLUS) Program &lt;/td&gt; &lt;/tr&gt;</v>
      </c>
    </row>
    <row r="296" spans="1:9" x14ac:dyDescent="0.25">
      <c r="A296" t="s">
        <v>958</v>
      </c>
      <c r="B296" t="s">
        <v>865</v>
      </c>
      <c r="C296" t="str">
        <f t="shared" si="12"/>
        <v>3100.08</v>
      </c>
      <c r="D296" t="s">
        <v>1157</v>
      </c>
      <c r="E296" s="2">
        <v>43388</v>
      </c>
      <c r="G296" t="s">
        <v>296</v>
      </c>
      <c r="H296" t="str">
        <f t="shared" si="13"/>
        <v>https://federallibrary.us/DOD/DODI/3100.08/CURRENT/TITLE.html</v>
      </c>
      <c r="I296" t="str">
        <f t="shared" si="14"/>
        <v>&lt;tr&gt; &lt;td&gt; &lt;a href=https://federallibrary.us/DOD/DODI/3100.08/CURRENT/TITLE.html&gt; DODI 3100.08&lt;/a&gt; &lt;/td&gt; &lt;td&gt; The Technical Cooperation Program (TTCP) &lt;/td&gt; &lt;/tr&gt;</v>
      </c>
    </row>
    <row r="297" spans="1:9" x14ac:dyDescent="0.25">
      <c r="A297" t="s">
        <v>958</v>
      </c>
      <c r="B297" t="s">
        <v>847</v>
      </c>
      <c r="C297" t="str">
        <f t="shared" si="12"/>
        <v>3100.11</v>
      </c>
      <c r="D297" t="s">
        <v>1157</v>
      </c>
      <c r="E297" s="2">
        <v>42667</v>
      </c>
      <c r="G297" t="s">
        <v>297</v>
      </c>
      <c r="H297" t="str">
        <f t="shared" si="13"/>
        <v>https://federallibrary.us/DOD/DODI/3100.11/CURRENT/TITLE.html</v>
      </c>
      <c r="I297" t="str">
        <f t="shared" si="14"/>
        <v>&lt;tr&gt; &lt;td&gt; &lt;a href=https://federallibrary.us/DOD/DODI/3100.11/CURRENT/TITLE.html&gt; DODI 3100.11&lt;/a&gt; &lt;/td&gt; &lt;td&gt; Management of Laser Illumination of Objects in Space &lt;/td&gt; &lt;/tr&gt;</v>
      </c>
    </row>
    <row r="298" spans="1:9" x14ac:dyDescent="0.25">
      <c r="A298" t="s">
        <v>958</v>
      </c>
      <c r="B298" t="s">
        <v>886</v>
      </c>
      <c r="C298" t="str">
        <f t="shared" si="12"/>
        <v>3100.12</v>
      </c>
      <c r="D298" t="s">
        <v>1157</v>
      </c>
      <c r="E298" s="2">
        <v>36783</v>
      </c>
      <c r="G298" t="s">
        <v>298</v>
      </c>
      <c r="H298" t="str">
        <f t="shared" si="13"/>
        <v>https://federallibrary.us/DOD/DODI/3100.12/CURRENT/TITLE.html</v>
      </c>
      <c r="I298" t="str">
        <f t="shared" si="14"/>
        <v>&lt;tr&gt; &lt;td&gt; &lt;a href=https://federallibrary.us/DOD/DODI/3100.12/CURRENT/TITLE.html&gt; DODI 3100.12&lt;/a&gt; &lt;/td&gt; &lt;td&gt; Space Support &lt;/td&gt; &lt;/tr&gt;</v>
      </c>
    </row>
    <row r="299" spans="1:9" x14ac:dyDescent="0.25">
      <c r="A299">
        <v>3100</v>
      </c>
      <c r="B299" t="s">
        <v>848</v>
      </c>
      <c r="C299" t="str">
        <f t="shared" si="12"/>
        <v>3100.13</v>
      </c>
      <c r="D299" t="s">
        <v>1157</v>
      </c>
      <c r="E299" s="2">
        <v>36783</v>
      </c>
      <c r="G299" t="s">
        <v>299</v>
      </c>
      <c r="H299" t="str">
        <f t="shared" si="13"/>
        <v>https://federallibrary.us/DOD/DODI/3100.13/CURRENT/TITLE.html</v>
      </c>
      <c r="I299" t="str">
        <f t="shared" si="14"/>
        <v>&lt;tr&gt; &lt;td&gt; &lt;a href=https://federallibrary.us/DOD/DODI/3100.13/CURRENT/TITLE.html&gt; DODI 3100.13&lt;/a&gt; &lt;/td&gt; &lt;td&gt; (U) Space Force Application &lt;/td&gt; &lt;/tr&gt;</v>
      </c>
    </row>
    <row r="300" spans="1:9" x14ac:dyDescent="0.25">
      <c r="A300">
        <v>3100</v>
      </c>
      <c r="B300" t="s">
        <v>859</v>
      </c>
      <c r="C300" t="str">
        <f t="shared" si="12"/>
        <v>3100.14</v>
      </c>
      <c r="D300" t="s">
        <v>1157</v>
      </c>
      <c r="E300" s="2">
        <v>36903</v>
      </c>
      <c r="G300" t="s">
        <v>300</v>
      </c>
      <c r="H300" t="str">
        <f t="shared" si="13"/>
        <v>https://federallibrary.us/DOD/DODI/3100.14/CURRENT/TITLE.html</v>
      </c>
      <c r="I300" t="str">
        <f t="shared" si="14"/>
        <v>&lt;tr&gt; &lt;td&gt; &lt;a href=https://federallibrary.us/DOD/DODI/3100.14/CURRENT/TITLE.html&gt; DODI 3100.14&lt;/a&gt; &lt;/td&gt; &lt;td&gt; (U) Space Force Enhancement &lt;/td&gt; &lt;/tr&gt;</v>
      </c>
    </row>
    <row r="301" spans="1:9" x14ac:dyDescent="0.25">
      <c r="A301">
        <v>3100</v>
      </c>
      <c r="B301" t="s">
        <v>849</v>
      </c>
      <c r="C301" t="str">
        <f t="shared" si="12"/>
        <v>3100.15</v>
      </c>
      <c r="D301" t="s">
        <v>1157</v>
      </c>
      <c r="E301" s="2">
        <v>36910</v>
      </c>
      <c r="G301" t="s">
        <v>301</v>
      </c>
      <c r="H301" t="str">
        <f t="shared" si="13"/>
        <v>https://federallibrary.us/DOD/DODI/3100.15/CURRENT/TITLE.html</v>
      </c>
      <c r="I301" t="str">
        <f t="shared" si="14"/>
        <v>&lt;tr&gt; &lt;td&gt; &lt;a href=https://federallibrary.us/DOD/DODI/3100.15/CURRENT/TITLE.html&gt; DODI 3100.15&lt;/a&gt; &lt;/td&gt; &lt;td&gt; (U) Space Control &lt;/td&gt; &lt;/tr&gt;</v>
      </c>
    </row>
    <row r="302" spans="1:9" x14ac:dyDescent="0.25">
      <c r="A302" t="s">
        <v>959</v>
      </c>
      <c r="B302" t="s">
        <v>868</v>
      </c>
      <c r="C302" t="str">
        <f t="shared" si="12"/>
        <v>3110.05</v>
      </c>
      <c r="D302" t="s">
        <v>1157</v>
      </c>
      <c r="E302" s="2">
        <v>45406</v>
      </c>
      <c r="G302" t="s">
        <v>302</v>
      </c>
      <c r="H302" t="str">
        <f t="shared" si="13"/>
        <v>https://federallibrary.us/DOD/DODI/3110.05/CURRENT/TITLE.html</v>
      </c>
      <c r="I302" t="str">
        <f t="shared" si="14"/>
        <v>&lt;tr&gt; &lt;td&gt; &lt;a href=https://federallibrary.us/DOD/DODI/3110.05/CURRENT/TITLE.html&gt; DODI 3110.05&lt;/a&gt; &lt;/td&gt; &lt;td&gt; Sustainment Health Metrics in Support of Materiel Availability &lt;/td&gt; &lt;/tr&gt;</v>
      </c>
    </row>
    <row r="303" spans="1:9" x14ac:dyDescent="0.25">
      <c r="A303" t="s">
        <v>959</v>
      </c>
      <c r="B303" t="s">
        <v>858</v>
      </c>
      <c r="C303" t="str">
        <f t="shared" si="12"/>
        <v>3110.06</v>
      </c>
      <c r="D303" t="s">
        <v>1157</v>
      </c>
      <c r="E303" s="2">
        <v>43472</v>
      </c>
      <c r="G303" t="s">
        <v>303</v>
      </c>
      <c r="H303" t="str">
        <f t="shared" si="13"/>
        <v>https://federallibrary.us/DOD/DODI/3110.06/CURRENT/TITLE.html</v>
      </c>
      <c r="I303" t="str">
        <f t="shared" si="14"/>
        <v>&lt;tr&gt; &lt;td&gt; &lt;a href=https://federallibrary.us/DOD/DODI/3110.06/CURRENT/TITLE.html&gt; DODI 3110.06&lt;/a&gt; &lt;/td&gt; &lt;td&gt; War Reserve Materiel (WRM) &lt;/td&gt; &lt;/tr&gt;</v>
      </c>
    </row>
    <row r="304" spans="1:9" x14ac:dyDescent="0.25">
      <c r="A304">
        <v>3115</v>
      </c>
      <c r="B304" t="s">
        <v>871</v>
      </c>
      <c r="C304" t="str">
        <f t="shared" si="12"/>
        <v>3115.07</v>
      </c>
      <c r="D304" t="s">
        <v>1157</v>
      </c>
      <c r="E304" s="2">
        <v>44068</v>
      </c>
      <c r="G304" t="s">
        <v>304</v>
      </c>
      <c r="H304" t="str">
        <f t="shared" si="13"/>
        <v>https://federallibrary.us/DOD/DODI/3115.07/CURRENT/TITLE.html</v>
      </c>
      <c r="I304" t="str">
        <f t="shared" si="14"/>
        <v>&lt;tr&gt; &lt;td&gt; &lt;a href=https://federallibrary.us/DOD/DODI/3115.07/CURRENT/TITLE.html&gt; DODI 3115.07&lt;/a&gt; &lt;/td&gt; &lt;td&gt; Signals Intelligence (SIGINT) &lt;/td&gt; &lt;/tr&gt;</v>
      </c>
    </row>
    <row r="305" spans="1:9" x14ac:dyDescent="0.25">
      <c r="A305" t="s">
        <v>960</v>
      </c>
      <c r="B305" t="s">
        <v>865</v>
      </c>
      <c r="C305" t="str">
        <f t="shared" si="12"/>
        <v>3115.08</v>
      </c>
      <c r="D305" t="s">
        <v>1157</v>
      </c>
      <c r="E305" s="2">
        <v>44105</v>
      </c>
      <c r="G305" t="s">
        <v>305</v>
      </c>
      <c r="H305" t="str">
        <f t="shared" si="13"/>
        <v>https://federallibrary.us/DOD/DODI/3115.08/CURRENT/TITLE.html</v>
      </c>
      <c r="I305" t="str">
        <f t="shared" si="14"/>
        <v>&lt;tr&gt; &lt;td&gt; &lt;a href=https://federallibrary.us/DOD/DODI/3115.08/CURRENT/TITLE.html&gt; DODI 3115.08&lt;/a&gt; &lt;/td&gt; &lt;td&gt; Collection of Information on Non-U.S. Persons Outside the United States at the Request of U.S. Law Enforcement Agencies (LEAs) &lt;/td&gt; &lt;/tr&gt;</v>
      </c>
    </row>
    <row r="306" spans="1:9" x14ac:dyDescent="0.25">
      <c r="A306" t="s">
        <v>960</v>
      </c>
      <c r="B306" t="s">
        <v>863</v>
      </c>
      <c r="C306" t="str">
        <f t="shared" si="12"/>
        <v>3115.10</v>
      </c>
      <c r="D306" t="s">
        <v>1157</v>
      </c>
      <c r="E306" s="2">
        <v>44141</v>
      </c>
      <c r="G306" t="s">
        <v>306</v>
      </c>
      <c r="H306" t="str">
        <f t="shared" si="13"/>
        <v>https://federallibrary.us/DOD/DODI/3115.10/CURRENT/TITLE.html</v>
      </c>
      <c r="I306" t="str">
        <f t="shared" si="14"/>
        <v>&lt;tr&gt; &lt;td&gt; &lt;a href=https://federallibrary.us/DOD/DODI/3115.10/CURRENT/TITLE.html&gt; DODI 3115.10&lt;/a&gt; &lt;/td&gt; &lt;td&gt; Intelligence Support to Personnel Recovery &lt;/td&gt; &lt;/tr&gt;</v>
      </c>
    </row>
    <row r="307" spans="1:9" x14ac:dyDescent="0.25">
      <c r="A307" t="s">
        <v>960</v>
      </c>
      <c r="B307" t="s">
        <v>847</v>
      </c>
      <c r="C307" t="str">
        <f t="shared" si="12"/>
        <v>3115.11</v>
      </c>
      <c r="D307" t="s">
        <v>1157</v>
      </c>
      <c r="E307" s="2">
        <v>44095</v>
      </c>
      <c r="G307" t="s">
        <v>307</v>
      </c>
      <c r="H307" t="str">
        <f t="shared" si="13"/>
        <v>https://federallibrary.us/DOD/DODI/3115.11/CURRENT/TITLE.html</v>
      </c>
      <c r="I307" t="str">
        <f t="shared" si="14"/>
        <v>&lt;tr&gt; &lt;td&gt; &lt;a href=https://federallibrary.us/DOD/DODI/3115.11/CURRENT/TITLE.html&gt; DODI 3115.11&lt;/a&gt; &lt;/td&gt; &lt;td&gt; DoD Intelligence Human Capital Management Operations &lt;/td&gt; &lt;/tr&gt;</v>
      </c>
    </row>
    <row r="308" spans="1:9" x14ac:dyDescent="0.25">
      <c r="A308" t="s">
        <v>960</v>
      </c>
      <c r="B308" t="s">
        <v>886</v>
      </c>
      <c r="C308" t="str">
        <f t="shared" si="12"/>
        <v>3115.12</v>
      </c>
      <c r="D308" t="s">
        <v>1157</v>
      </c>
      <c r="E308" s="2">
        <v>44028</v>
      </c>
      <c r="G308" t="s">
        <v>308</v>
      </c>
      <c r="H308" t="str">
        <f t="shared" si="13"/>
        <v>https://federallibrary.us/DOD/DODI/3115.12/CURRENT/TITLE.html</v>
      </c>
      <c r="I308" t="str">
        <f t="shared" si="14"/>
        <v>&lt;tr&gt; &lt;td&gt; &lt;a href=https://federallibrary.us/DOD/DODI/3115.12/CURRENT/TITLE.html&gt; DODI 3115.12&lt;/a&gt; &lt;/td&gt; &lt;td&gt; Open Source Intelligence (OSINT) &lt;/td&gt; &lt;/tr&gt;</v>
      </c>
    </row>
    <row r="309" spans="1:9" x14ac:dyDescent="0.25">
      <c r="A309" t="s">
        <v>960</v>
      </c>
      <c r="B309" t="s">
        <v>859</v>
      </c>
      <c r="C309" t="str">
        <f t="shared" si="12"/>
        <v>3115.14</v>
      </c>
      <c r="D309" t="s">
        <v>1157</v>
      </c>
      <c r="E309" s="2">
        <v>44068</v>
      </c>
      <c r="G309" t="s">
        <v>309</v>
      </c>
      <c r="H309" t="str">
        <f t="shared" si="13"/>
        <v>https://federallibrary.us/DOD/DODI/3115.14/CURRENT/TITLE.html</v>
      </c>
      <c r="I309" t="str">
        <f t="shared" si="14"/>
        <v>&lt;tr&gt; &lt;td&gt; &lt;a href=https://federallibrary.us/DOD/DODI/3115.14/CURRENT/TITLE.html&gt; DODI 3115.14&lt;/a&gt; &lt;/td&gt; &lt;td&gt; Civil Aviation Intelligence &lt;/td&gt; &lt;/tr&gt;</v>
      </c>
    </row>
    <row r="310" spans="1:9" x14ac:dyDescent="0.25">
      <c r="A310" t="s">
        <v>960</v>
      </c>
      <c r="B310" t="s">
        <v>849</v>
      </c>
      <c r="C310" t="str">
        <f t="shared" si="12"/>
        <v>3115.15</v>
      </c>
      <c r="D310" t="s">
        <v>1157</v>
      </c>
      <c r="E310" s="2">
        <v>44105</v>
      </c>
      <c r="G310" t="s">
        <v>310</v>
      </c>
      <c r="H310" t="str">
        <f t="shared" si="13"/>
        <v>https://federallibrary.us/DOD/DODI/3115.15/CURRENT/TITLE.html</v>
      </c>
      <c r="I310" t="str">
        <f t="shared" si="14"/>
        <v>&lt;tr&gt; &lt;td&gt; &lt;a href=https://federallibrary.us/DOD/DODI/3115.15/CURRENT/TITLE.html&gt; DODI 3115.15&lt;/a&gt; &lt;/td&gt; &lt;td&gt; Geospatial Intelligence (GEOINT) &lt;/td&gt; &lt;/tr&gt;</v>
      </c>
    </row>
    <row r="311" spans="1:9" x14ac:dyDescent="0.25">
      <c r="A311" t="s">
        <v>960</v>
      </c>
      <c r="B311" t="s">
        <v>850</v>
      </c>
      <c r="C311" t="str">
        <f t="shared" si="12"/>
        <v>3115.17</v>
      </c>
      <c r="D311" t="s">
        <v>1157</v>
      </c>
      <c r="E311" s="2">
        <v>44095</v>
      </c>
      <c r="G311" t="s">
        <v>311</v>
      </c>
      <c r="H311" t="str">
        <f t="shared" si="13"/>
        <v>https://federallibrary.us/DOD/DODI/3115.17/CURRENT/TITLE.html</v>
      </c>
      <c r="I311" t="str">
        <f t="shared" si="14"/>
        <v>&lt;tr&gt; &lt;td&gt; &lt;a href=https://federallibrary.us/DOD/DODI/3115.17/CURRENT/TITLE.html&gt; DODI 3115.17&lt;/a&gt; &lt;/td&gt; &lt;td&gt; Management and Oversight of DoD All-Source Analysis &lt;/td&gt; &lt;/tr&gt;</v>
      </c>
    </row>
    <row r="312" spans="1:9" x14ac:dyDescent="0.25">
      <c r="A312" t="s">
        <v>960</v>
      </c>
      <c r="B312" t="s">
        <v>893</v>
      </c>
      <c r="C312" t="str">
        <f t="shared" si="12"/>
        <v>3115.19</v>
      </c>
      <c r="D312" t="s">
        <v>1157</v>
      </c>
      <c r="E312" s="2">
        <v>44964</v>
      </c>
      <c r="G312" t="s">
        <v>312</v>
      </c>
      <c r="H312" t="str">
        <f t="shared" si="13"/>
        <v>https://federallibrary.us/DOD/DODI/3115.19/CURRENT/TITLE.html</v>
      </c>
      <c r="I312" t="str">
        <f t="shared" si="14"/>
        <v>&lt;tr&gt; &lt;td&gt; &lt;a href=https://federallibrary.us/DOD/DODI/3115.19/CURRENT/TITLE.html&gt; DODI 3115.19&lt;/a&gt; &lt;/td&gt; &lt;td&gt; Executive Agent for Tactical Exploitation of National Capabilities &lt;/td&gt; &lt;/tr&gt;</v>
      </c>
    </row>
    <row r="313" spans="1:9" x14ac:dyDescent="0.25">
      <c r="A313">
        <v>3150</v>
      </c>
      <c r="B313" t="s">
        <v>871</v>
      </c>
      <c r="C313" t="str">
        <f t="shared" si="12"/>
        <v>3150.07</v>
      </c>
      <c r="D313" t="s">
        <v>1157</v>
      </c>
      <c r="E313" s="2">
        <v>43333</v>
      </c>
      <c r="G313" t="s">
        <v>313</v>
      </c>
      <c r="H313" t="str">
        <f t="shared" si="13"/>
        <v>https://federallibrary.us/DOD/DODI/3150.07/CURRENT/TITLE.html</v>
      </c>
      <c r="I313" t="str">
        <f t="shared" si="14"/>
        <v>&lt;tr&gt; &lt;td&gt; &lt;a href=https://federallibrary.us/DOD/DODI/3150.07/CURRENT/TITLE.html&gt; DODI 3150.07&lt;/a&gt; &lt;/td&gt; &lt;td&gt; (U) Controlling the Use of Nuclear Weapons &lt;/td&gt; &lt;/tr&gt;</v>
      </c>
    </row>
    <row r="314" spans="1:9" x14ac:dyDescent="0.25">
      <c r="A314" t="s">
        <v>961</v>
      </c>
      <c r="B314" t="s">
        <v>862</v>
      </c>
      <c r="C314" t="str">
        <f t="shared" si="12"/>
        <v>3150.09</v>
      </c>
      <c r="D314" t="s">
        <v>1157</v>
      </c>
      <c r="E314" s="2">
        <v>45268</v>
      </c>
      <c r="G314" t="s">
        <v>314</v>
      </c>
      <c r="H314" t="str">
        <f t="shared" si="13"/>
        <v>https://federallibrary.us/DOD/DODI/3150.09/CURRENT/TITLE.html</v>
      </c>
      <c r="I314" t="str">
        <f t="shared" si="14"/>
        <v>&lt;tr&gt; &lt;td&gt; &lt;a href=https://federallibrary.us/DOD/DODI/3150.09/CURRENT/TITLE.html&gt; DODI 3150.09&lt;/a&gt; &lt;/td&gt; &lt;td&gt; The Chemical, Biological, Radiological, and Nuclear Survivability Policy &lt;/td&gt; &lt;/tr&gt;</v>
      </c>
    </row>
    <row r="315" spans="1:9" x14ac:dyDescent="0.25">
      <c r="A315" t="s">
        <v>961</v>
      </c>
      <c r="B315" t="s">
        <v>863</v>
      </c>
      <c r="C315" t="str">
        <f t="shared" si="12"/>
        <v>3150.10</v>
      </c>
      <c r="D315" t="s">
        <v>1157</v>
      </c>
      <c r="E315" s="2">
        <v>43343</v>
      </c>
      <c r="G315" t="s">
        <v>315</v>
      </c>
      <c r="H315" t="str">
        <f t="shared" si="13"/>
        <v>https://federallibrary.us/DOD/DODI/3150.10/CURRENT/TITLE.html</v>
      </c>
      <c r="I315" t="str">
        <f t="shared" si="14"/>
        <v>&lt;tr&gt; &lt;td&gt; &lt;a href=https://federallibrary.us/DOD/DODI/3150.10/CURRENT/TITLE.html&gt; DODI 3150.10&lt;/a&gt; &lt;/td&gt; &lt;td&gt; DoD Response to U.S. Nuclear Weapon Incidents &lt;/td&gt; &lt;/tr&gt;</v>
      </c>
    </row>
    <row r="316" spans="1:9" x14ac:dyDescent="0.25">
      <c r="A316" t="s">
        <v>962</v>
      </c>
      <c r="B316" t="s">
        <v>886</v>
      </c>
      <c r="C316" t="str">
        <f t="shared" si="12"/>
        <v>3200.12</v>
      </c>
      <c r="D316" t="s">
        <v>1157</v>
      </c>
      <c r="E316" s="2">
        <v>43451</v>
      </c>
      <c r="G316" t="s">
        <v>316</v>
      </c>
      <c r="H316" t="str">
        <f t="shared" si="13"/>
        <v>https://federallibrary.us/DOD/DODI/3200.12/CURRENT/TITLE.html</v>
      </c>
      <c r="I316" t="str">
        <f t="shared" si="14"/>
        <v>&lt;tr&gt; &lt;td&gt; &lt;a href=https://federallibrary.us/DOD/DODI/3200.12/CURRENT/TITLE.html&gt; DODI 3200.12&lt;/a&gt; &lt;/td&gt; &lt;td&gt; DoD Scientific and Technical Information Program (STIP) &lt;/td&gt; &lt;/tr&gt;</v>
      </c>
    </row>
    <row r="317" spans="1:9" x14ac:dyDescent="0.25">
      <c r="A317" t="s">
        <v>962</v>
      </c>
      <c r="B317" t="s">
        <v>860</v>
      </c>
      <c r="C317" t="str">
        <f t="shared" si="12"/>
        <v>3200.16</v>
      </c>
      <c r="D317" t="s">
        <v>1157</v>
      </c>
      <c r="E317" s="2">
        <v>43073</v>
      </c>
      <c r="G317" t="s">
        <v>317</v>
      </c>
      <c r="H317" t="str">
        <f t="shared" si="13"/>
        <v>https://federallibrary.us/DOD/DODI/3200.16/CURRENT/TITLE.html</v>
      </c>
      <c r="I317" t="str">
        <f t="shared" si="14"/>
        <v>&lt;tr&gt; &lt;td&gt; &lt;a href=https://federallibrary.us/DOD/DODI/3200.16/CURRENT/TITLE.html&gt; DODI 3200.16&lt;/a&gt; &lt;/td&gt; &lt;td&gt; Operational Range Clearance (ORC) &lt;/td&gt; &lt;/tr&gt;</v>
      </c>
    </row>
    <row r="318" spans="1:9" x14ac:dyDescent="0.25">
      <c r="A318">
        <v>3200</v>
      </c>
      <c r="B318" t="s">
        <v>850</v>
      </c>
      <c r="C318" t="str">
        <f t="shared" si="12"/>
        <v>3200.17</v>
      </c>
      <c r="D318" t="s">
        <v>1157</v>
      </c>
      <c r="E318" s="2">
        <v>40009</v>
      </c>
      <c r="G318" t="s">
        <v>318</v>
      </c>
      <c r="H318" t="str">
        <f t="shared" si="13"/>
        <v>https://federallibrary.us/DOD/DODI/3200.17/CURRENT/TITLE.html</v>
      </c>
      <c r="I318" t="str">
        <f t="shared" si="14"/>
        <v>&lt;tr&gt; &lt;td&gt; &lt;a href=https://federallibrary.us/DOD/DODI/3200.17/CURRENT/TITLE.html&gt; DODI 3200.17&lt;/a&gt; &lt;/td&gt; &lt;td&gt; (U) Implementing Instructions for the DoD Special Communications Enterprise Office (SCEO) &lt;/td&gt; &lt;/tr&gt;</v>
      </c>
    </row>
    <row r="319" spans="1:9" x14ac:dyDescent="0.25">
      <c r="A319" t="s">
        <v>962</v>
      </c>
      <c r="B319" t="s">
        <v>884</v>
      </c>
      <c r="C319" t="str">
        <f t="shared" si="12"/>
        <v>3200.18</v>
      </c>
      <c r="D319" t="s">
        <v>1157</v>
      </c>
      <c r="E319" s="2">
        <v>43388</v>
      </c>
      <c r="G319" t="s">
        <v>319</v>
      </c>
      <c r="H319" t="str">
        <f t="shared" si="13"/>
        <v>https://federallibrary.us/DOD/DODI/3200.18/CURRENT/TITLE.html</v>
      </c>
      <c r="I319" t="str">
        <f t="shared" si="14"/>
        <v>&lt;tr&gt; &lt;td&gt; &lt;a href=https://federallibrary.us/DOD/DODI/3200.18/CURRENT/TITLE.html&gt; DODI 3200.18&lt;/a&gt; &lt;/td&gt; &lt;td&gt; Management and Operation of the Major Range and Test Facility Base (MRTFB) &lt;/td&gt; &lt;/tr&gt;</v>
      </c>
    </row>
    <row r="320" spans="1:9" x14ac:dyDescent="0.25">
      <c r="A320" t="s">
        <v>962</v>
      </c>
      <c r="B320" t="s">
        <v>893</v>
      </c>
      <c r="C320" t="str">
        <f t="shared" si="12"/>
        <v>3200.19</v>
      </c>
      <c r="D320" t="s">
        <v>1157</v>
      </c>
      <c r="E320" s="2">
        <v>43343</v>
      </c>
      <c r="G320" t="s">
        <v>320</v>
      </c>
      <c r="H320" t="str">
        <f t="shared" si="13"/>
        <v>https://federallibrary.us/DOD/DODI/3200.19/CURRENT/TITLE.html</v>
      </c>
      <c r="I320" t="str">
        <f t="shared" si="14"/>
        <v>&lt;tr&gt; &lt;td&gt; &lt;a href=https://federallibrary.us/DOD/DODI/3200.19/CURRENT/TITLE.html&gt; DODI 3200.19&lt;/a&gt; &lt;/td&gt; &lt;td&gt; Non-Lethal Weapons (NLW) Human Effects Characterization &lt;/td&gt; &lt;/tr&gt;</v>
      </c>
    </row>
    <row r="321" spans="1:9" x14ac:dyDescent="0.25">
      <c r="A321" t="s">
        <v>962</v>
      </c>
      <c r="B321" t="s">
        <v>905</v>
      </c>
      <c r="C321" t="str">
        <f t="shared" si="12"/>
        <v>3200.20</v>
      </c>
      <c r="D321" t="s">
        <v>1157</v>
      </c>
      <c r="E321" s="2">
        <v>43388</v>
      </c>
      <c r="G321" t="s">
        <v>321</v>
      </c>
      <c r="H321" t="str">
        <f t="shared" si="13"/>
        <v>https://federallibrary.us/DOD/DODI/3200.20/CURRENT/TITLE.html</v>
      </c>
      <c r="I321" t="str">
        <f t="shared" si="14"/>
        <v>&lt;tr&gt; &lt;td&gt; &lt;a href=https://federallibrary.us/DOD/DODI/3200.20/CURRENT/TITLE.html&gt; DODI 3200.20&lt;/a&gt; &lt;/td&gt; &lt;td&gt; Scientific and Engineering Integrity &lt;/td&gt; &lt;/tr&gt;</v>
      </c>
    </row>
    <row r="322" spans="1:9" x14ac:dyDescent="0.25">
      <c r="A322" t="s">
        <v>962</v>
      </c>
      <c r="B322" t="s">
        <v>875</v>
      </c>
      <c r="C322" t="str">
        <f t="shared" si="12"/>
        <v>3200.21</v>
      </c>
      <c r="D322" t="s">
        <v>1157</v>
      </c>
      <c r="E322" s="2">
        <v>43069</v>
      </c>
      <c r="G322" t="s">
        <v>322</v>
      </c>
      <c r="H322" t="str">
        <f t="shared" si="13"/>
        <v>https://federallibrary.us/DOD/DODI/3200.21/CURRENT/TITLE.html</v>
      </c>
      <c r="I322" t="str">
        <f t="shared" si="14"/>
        <v>&lt;tr&gt; &lt;td&gt; &lt;a href=https://federallibrary.us/DOD/DODI/3200.21/CURRENT/TITLE.html&gt; DODI 3200.21&lt;/a&gt; &lt;/td&gt; &lt;td&gt; Sustaining Access to the Live Training Domain &lt;/td&gt; &lt;/tr&gt;</v>
      </c>
    </row>
    <row r="323" spans="1:9" x14ac:dyDescent="0.25">
      <c r="A323" t="s">
        <v>963</v>
      </c>
      <c r="B323" t="s">
        <v>845</v>
      </c>
      <c r="C323" t="str">
        <f t="shared" ref="C323:C386" si="15">_xlfn.CONCAT(A323,".",B323)</f>
        <v>3201.01</v>
      </c>
      <c r="D323" t="s">
        <v>1157</v>
      </c>
      <c r="E323" s="2">
        <v>43388</v>
      </c>
      <c r="G323" t="s">
        <v>323</v>
      </c>
      <c r="H323" t="str">
        <f t="shared" ref="H323:H386" si="16">IF(D323="CURRENT",_xlfn.CONCAT("https://federallibrary.us/DOD/DODI/",C323,"/CURRENT/TITLE.html"),"")</f>
        <v>https://federallibrary.us/DOD/DODI/3201.01/CURRENT/TITLE.html</v>
      </c>
      <c r="I323" t="str">
        <f t="shared" ref="I323:I386" si="17">IF(D323="CURRENT",_xlfn.CONCAT("&lt;tr&gt; &lt;td&gt; &lt;a href=",H323,"&gt; DODI ",C323, "&lt;/a&gt; &lt;/td&gt; &lt;td&gt; ", G323, " &lt;/td&gt; &lt;/tr&gt;"),"")</f>
        <v>&lt;tr&gt; &lt;td&gt; &lt;a href=https://federallibrary.us/DOD/DODI/3201.01/CURRENT/TITLE.html&gt; DODI 3201.01&lt;/a&gt; &lt;/td&gt; &lt;td&gt; Management of DoD Research and Development (R&amp;D) Laboratories &lt;/td&gt; &lt;/tr&gt;</v>
      </c>
    </row>
    <row r="324" spans="1:9" x14ac:dyDescent="0.25">
      <c r="A324" t="s">
        <v>963</v>
      </c>
      <c r="B324" t="s">
        <v>846</v>
      </c>
      <c r="C324" t="str">
        <f t="shared" si="15"/>
        <v>3201.04</v>
      </c>
      <c r="D324" t="s">
        <v>1157</v>
      </c>
      <c r="E324" s="2">
        <v>43388</v>
      </c>
      <c r="G324" t="s">
        <v>324</v>
      </c>
      <c r="H324" t="str">
        <f t="shared" si="16"/>
        <v>https://federallibrary.us/DOD/DODI/3201.04/CURRENT/TITLE.html</v>
      </c>
      <c r="I324" t="str">
        <f t="shared" si="17"/>
        <v>&lt;tr&gt; &lt;td&gt; &lt;a href=https://federallibrary.us/DOD/DODI/3201.04/CURRENT/TITLE.html&gt; DODI 3201.04&lt;/a&gt; &lt;/td&gt; &lt;td&gt; In-House Laboratory Independent Research (ILIR) Program &lt;/td&gt; &lt;/tr&gt;</v>
      </c>
    </row>
    <row r="325" spans="1:9" x14ac:dyDescent="0.25">
      <c r="A325" t="s">
        <v>963</v>
      </c>
      <c r="B325" t="s">
        <v>868</v>
      </c>
      <c r="C325" t="str">
        <f t="shared" si="15"/>
        <v>3201.05</v>
      </c>
      <c r="D325" t="s">
        <v>1157</v>
      </c>
      <c r="E325" s="2">
        <v>44559</v>
      </c>
      <c r="G325" t="s">
        <v>325</v>
      </c>
      <c r="H325" t="str">
        <f t="shared" si="16"/>
        <v>https://federallibrary.us/DOD/DODI/3201.05/CURRENT/TITLE.html</v>
      </c>
      <c r="I325" t="str">
        <f t="shared" si="17"/>
        <v>&lt;tr&gt; &lt;td&gt; &lt;a href=https://federallibrary.us/DOD/DODI/3201.05/CURRENT/TITLE.html&gt; DODI 3201.05&lt;/a&gt; &lt;/td&gt; &lt;td&gt; Management of Science and Technology Reinvention Laboratory Personnel Demonstration Projects &lt;/td&gt; &lt;/tr&gt;</v>
      </c>
    </row>
    <row r="326" spans="1:9" x14ac:dyDescent="0.25">
      <c r="A326" t="s">
        <v>964</v>
      </c>
      <c r="B326" t="s">
        <v>845</v>
      </c>
      <c r="C326" t="str">
        <f t="shared" si="15"/>
        <v>3204.01</v>
      </c>
      <c r="D326" t="s">
        <v>1157</v>
      </c>
      <c r="E326" s="2">
        <v>44021</v>
      </c>
      <c r="G326" t="s">
        <v>326</v>
      </c>
      <c r="H326" t="str">
        <f t="shared" si="16"/>
        <v>https://federallibrary.us/DOD/DODI/3204.01/CURRENT/TITLE.html</v>
      </c>
      <c r="I326" t="str">
        <f t="shared" si="17"/>
        <v>&lt;tr&gt; &lt;td&gt; &lt;a href=https://federallibrary.us/DOD/DODI/3204.01/CURRENT/TITLE.html&gt; DODI 3204.01&lt;/a&gt; &lt;/td&gt; &lt;td&gt; DoD Policy for Oversight of Independent Research and Development (IR&amp;D) &lt;/td&gt; &lt;/tr&gt;</v>
      </c>
    </row>
    <row r="327" spans="1:9" x14ac:dyDescent="0.25">
      <c r="A327" t="s">
        <v>965</v>
      </c>
      <c r="B327" t="s">
        <v>845</v>
      </c>
      <c r="C327" t="str">
        <f t="shared" si="15"/>
        <v>3210.01</v>
      </c>
      <c r="D327" t="s">
        <v>1157</v>
      </c>
      <c r="E327" s="2">
        <v>43388</v>
      </c>
      <c r="G327" t="s">
        <v>327</v>
      </c>
      <c r="H327" t="str">
        <f t="shared" si="16"/>
        <v>https://federallibrary.us/DOD/DODI/3210.01/CURRENT/TITLE.html</v>
      </c>
      <c r="I327" t="str">
        <f t="shared" si="17"/>
        <v>&lt;tr&gt; &lt;td&gt; &lt;a href=https://federallibrary.us/DOD/DODI/3210.01/CURRENT/TITLE.html&gt; DODI 3210.01&lt;/a&gt; &lt;/td&gt; &lt;td&gt; Administration and Support of Basic Research by the Department of Defense &lt;/td&gt; &lt;/tr&gt;</v>
      </c>
    </row>
    <row r="328" spans="1:9" x14ac:dyDescent="0.25">
      <c r="A328" t="s">
        <v>965</v>
      </c>
      <c r="B328" t="s">
        <v>871</v>
      </c>
      <c r="C328" t="str">
        <f t="shared" si="15"/>
        <v>3210.07</v>
      </c>
      <c r="D328" t="s">
        <v>1157</v>
      </c>
      <c r="E328" s="2">
        <v>43388</v>
      </c>
      <c r="G328" t="s">
        <v>328</v>
      </c>
      <c r="H328" t="str">
        <f t="shared" si="16"/>
        <v>https://federallibrary.us/DOD/DODI/3210.07/CURRENT/TITLE.html</v>
      </c>
      <c r="I328" t="str">
        <f t="shared" si="17"/>
        <v>&lt;tr&gt; &lt;td&gt; &lt;a href=https://federallibrary.us/DOD/DODI/3210.07/CURRENT/TITLE.html&gt; DODI 3210.07&lt;/a&gt; &lt;/td&gt; &lt;td&gt; Research Integrity and Misconduct &lt;/td&gt; &lt;/tr&gt;</v>
      </c>
    </row>
    <row r="329" spans="1:9" x14ac:dyDescent="0.25">
      <c r="A329" t="s">
        <v>965</v>
      </c>
      <c r="B329" t="s">
        <v>865</v>
      </c>
      <c r="C329" t="str">
        <f t="shared" si="15"/>
        <v>3210.08</v>
      </c>
      <c r="D329" t="s">
        <v>1157</v>
      </c>
      <c r="E329" s="2">
        <v>43388</v>
      </c>
      <c r="G329" t="s">
        <v>329</v>
      </c>
      <c r="H329" t="str">
        <f t="shared" si="16"/>
        <v>https://federallibrary.us/DOD/DODI/3210.08/CURRENT/TITLE.html</v>
      </c>
      <c r="I329" t="str">
        <f t="shared" si="17"/>
        <v>&lt;tr&gt; &lt;td&gt; &lt;a href=https://federallibrary.us/DOD/DODI/3210.08/CURRENT/TITLE.html&gt; DODI 3210.08&lt;/a&gt; &lt;/td&gt; &lt;td&gt; Reporting and Using Information in the Government-Wide Integrity and Performance System &lt;/td&gt; &lt;/tr&gt;</v>
      </c>
    </row>
    <row r="330" spans="1:9" x14ac:dyDescent="0.25">
      <c r="A330" t="s">
        <v>966</v>
      </c>
      <c r="B330" t="s">
        <v>845</v>
      </c>
      <c r="C330" t="str">
        <f t="shared" si="15"/>
        <v>3216.01</v>
      </c>
      <c r="D330" t="s">
        <v>1157</v>
      </c>
      <c r="E330" s="2">
        <v>43544</v>
      </c>
      <c r="G330" t="s">
        <v>330</v>
      </c>
      <c r="H330" t="str">
        <f t="shared" si="16"/>
        <v>https://federallibrary.us/DOD/DODI/3216.01/CURRENT/TITLE.html</v>
      </c>
      <c r="I330" t="str">
        <f t="shared" si="17"/>
        <v>&lt;tr&gt; &lt;td&gt; &lt;a href=https://federallibrary.us/DOD/DODI/3216.01/CURRENT/TITLE.html&gt; DODI 3216.01&lt;/a&gt; &lt;/td&gt; &lt;td&gt; Use of Animals in DoD Conducted and Supported Research and Training &lt;/td&gt; &lt;/tr&gt;</v>
      </c>
    </row>
    <row r="331" spans="1:9" x14ac:dyDescent="0.25">
      <c r="A331" t="s">
        <v>966</v>
      </c>
      <c r="B331" t="s">
        <v>870</v>
      </c>
      <c r="C331" t="str">
        <f t="shared" si="15"/>
        <v>3216.02</v>
      </c>
      <c r="D331" t="s">
        <v>1157</v>
      </c>
      <c r="E331" s="2">
        <v>44741</v>
      </c>
      <c r="G331" t="s">
        <v>331</v>
      </c>
      <c r="H331" t="str">
        <f t="shared" si="16"/>
        <v>https://federallibrary.us/DOD/DODI/3216.02/CURRENT/TITLE.html</v>
      </c>
      <c r="I331" t="str">
        <f t="shared" si="17"/>
        <v>&lt;tr&gt; &lt;td&gt; &lt;a href=https://federallibrary.us/DOD/DODI/3216.02/CURRENT/TITLE.html&gt; DODI 3216.02&lt;/a&gt; &lt;/td&gt; &lt;td&gt; Protection of Human Subjects and Adherence to Ethical Standards in DoD-Conducted and -Supported Research &lt;/td&gt; &lt;/tr&gt;</v>
      </c>
    </row>
    <row r="332" spans="1:9" x14ac:dyDescent="0.25">
      <c r="A332" t="s">
        <v>967</v>
      </c>
      <c r="B332" t="s">
        <v>870</v>
      </c>
      <c r="C332" t="str">
        <f t="shared" si="15"/>
        <v>3218.02</v>
      </c>
      <c r="D332" t="s">
        <v>1157</v>
      </c>
      <c r="E332" s="2">
        <v>43388</v>
      </c>
      <c r="G332" t="s">
        <v>332</v>
      </c>
      <c r="H332" t="str">
        <f t="shared" si="16"/>
        <v>https://federallibrary.us/DOD/DODI/3218.02/CURRENT/TITLE.html</v>
      </c>
      <c r="I332" t="str">
        <f t="shared" si="17"/>
        <v>&lt;tr&gt; &lt;td&gt; &lt;a href=https://federallibrary.us/DOD/DODI/3218.02/CURRENT/TITLE.html&gt; DODI 3218.02&lt;/a&gt; &lt;/td&gt; &lt;td&gt; National Defense Science and Engineering Graduate (NDSEG) Fellowships &lt;/td&gt; &lt;/tr&gt;</v>
      </c>
    </row>
    <row r="333" spans="1:9" x14ac:dyDescent="0.25">
      <c r="A333" t="s">
        <v>968</v>
      </c>
      <c r="B333" t="s">
        <v>867</v>
      </c>
      <c r="C333" t="str">
        <f t="shared" si="15"/>
        <v>3222.03</v>
      </c>
      <c r="D333" t="s">
        <v>1157</v>
      </c>
      <c r="E333" s="2">
        <v>43018</v>
      </c>
      <c r="G333" t="s">
        <v>333</v>
      </c>
      <c r="H333" t="str">
        <f t="shared" si="16"/>
        <v>https://federallibrary.us/DOD/DODI/3222.03/CURRENT/TITLE.html</v>
      </c>
      <c r="I333" t="str">
        <f t="shared" si="17"/>
        <v>&lt;tr&gt; &lt;td&gt; &lt;a href=https://federallibrary.us/DOD/DODI/3222.03/CURRENT/TITLE.html&gt; DODI 3222.03&lt;/a&gt; &lt;/td&gt; &lt;td&gt; DoD Electromagnetic Environmental Effects (E3) Program &lt;/td&gt; &lt;/tr&gt;</v>
      </c>
    </row>
    <row r="334" spans="1:9" x14ac:dyDescent="0.25">
      <c r="A334" t="s">
        <v>969</v>
      </c>
      <c r="B334" t="s">
        <v>867</v>
      </c>
      <c r="C334" t="str">
        <f t="shared" si="15"/>
        <v>3224.03</v>
      </c>
      <c r="D334" t="s">
        <v>1157</v>
      </c>
      <c r="E334" s="2">
        <v>43986</v>
      </c>
      <c r="G334" t="s">
        <v>334</v>
      </c>
      <c r="H334" t="str">
        <f t="shared" si="16"/>
        <v>https://federallibrary.us/DOD/DODI/3224.03/CURRENT/TITLE.html</v>
      </c>
      <c r="I334" t="str">
        <f t="shared" si="17"/>
        <v>&lt;tr&gt; &lt;td&gt; &lt;a href=https://federallibrary.us/DOD/DODI/3224.03/CURRENT/TITLE.html&gt; DODI 3224.03&lt;/a&gt; &lt;/td&gt; &lt;td&gt; Physical Security Enterprise and Analysis Program (PSEAP) &lt;/td&gt; &lt;/tr&gt;</v>
      </c>
    </row>
    <row r="335" spans="1:9" x14ac:dyDescent="0.25">
      <c r="A335" t="s">
        <v>969</v>
      </c>
      <c r="B335" t="s">
        <v>846</v>
      </c>
      <c r="C335" t="str">
        <f t="shared" si="15"/>
        <v>3224.04</v>
      </c>
      <c r="D335" t="s">
        <v>1157</v>
      </c>
      <c r="E335" s="2">
        <v>42881</v>
      </c>
      <c r="G335" t="s">
        <v>335</v>
      </c>
      <c r="H335" t="str">
        <f t="shared" si="16"/>
        <v>https://federallibrary.us/DOD/DODI/3224.04/CURRENT/TITLE.html</v>
      </c>
      <c r="I335" t="str">
        <f t="shared" si="17"/>
        <v>&lt;tr&gt; &lt;td&gt; &lt;a href=https://federallibrary.us/DOD/DODI/3224.04/CURRENT/TITLE.html&gt; DODI 3224.04&lt;/a&gt; &lt;/td&gt; &lt;td&gt; Single Manager Responsibility for Joint Military Diving Technology and Training (MDT&amp;T) &lt;/td&gt; &lt;/tr&gt;</v>
      </c>
    </row>
    <row r="336" spans="1:9" x14ac:dyDescent="0.25">
      <c r="A336">
        <v>3300</v>
      </c>
      <c r="B336" t="s">
        <v>846</v>
      </c>
      <c r="C336" t="str">
        <f t="shared" si="15"/>
        <v>3300.04</v>
      </c>
      <c r="D336" t="s">
        <v>1157</v>
      </c>
      <c r="E336" s="2">
        <v>43979</v>
      </c>
      <c r="G336" t="s">
        <v>336</v>
      </c>
      <c r="H336" t="str">
        <f t="shared" si="16"/>
        <v>https://federallibrary.us/DOD/DODI/3300.04/CURRENT/TITLE.html</v>
      </c>
      <c r="I336" t="str">
        <f t="shared" si="17"/>
        <v>&lt;tr&gt; &lt;td&gt; &lt;a href=https://federallibrary.us/DOD/DODI/3300.04/CURRENT/TITLE.html&gt; DODI 3300.04&lt;/a&gt; &lt;/td&gt; &lt;td&gt; Defense Biometric Enabled Intelligence (BEI) and Forensic Enabled Intelligence (FEI) &lt;/td&gt; &lt;/tr&gt;</v>
      </c>
    </row>
    <row r="337" spans="1:9" x14ac:dyDescent="0.25">
      <c r="A337" t="s">
        <v>970</v>
      </c>
      <c r="B337" t="s">
        <v>868</v>
      </c>
      <c r="C337" t="str">
        <f t="shared" si="15"/>
        <v>3300.05</v>
      </c>
      <c r="D337" t="s">
        <v>1157</v>
      </c>
      <c r="E337" s="2">
        <v>44050</v>
      </c>
      <c r="G337" t="s">
        <v>337</v>
      </c>
      <c r="H337" t="str">
        <f t="shared" si="16"/>
        <v>https://federallibrary.us/DOD/DODI/3300.05/CURRENT/TITLE.html</v>
      </c>
      <c r="I337" t="str">
        <f t="shared" si="17"/>
        <v>&lt;tr&gt; &lt;td&gt; &lt;a href=https://federallibrary.us/DOD/DODI/3300.05/CURRENT/TITLE.html&gt; DODI 3300.05&lt;/a&gt; &lt;/td&gt; &lt;td&gt; Reserve Component Intelligence Enterprise (RCIE) Management &lt;/td&gt; &lt;/tr&gt;</v>
      </c>
    </row>
    <row r="338" spans="1:9" x14ac:dyDescent="0.25">
      <c r="A338">
        <v>3300</v>
      </c>
      <c r="B338" t="s">
        <v>858</v>
      </c>
      <c r="C338" t="str">
        <f t="shared" si="15"/>
        <v>3300.06</v>
      </c>
      <c r="D338" t="s">
        <v>1157</v>
      </c>
      <c r="E338" s="2">
        <v>42752</v>
      </c>
      <c r="G338" t="s">
        <v>338</v>
      </c>
      <c r="H338" t="str">
        <f t="shared" si="16"/>
        <v>https://federallibrary.us/DOD/DODI/3300.06/CURRENT/TITLE.html</v>
      </c>
      <c r="I338" t="str">
        <f t="shared" si="17"/>
        <v>&lt;tr&gt; &lt;td&gt; &lt;a href=https://federallibrary.us/DOD/DODI/3300.06/CURRENT/TITLE.html&gt; DODI 3300.06&lt;/a&gt; &lt;/td&gt; &lt;td&gt; (U) Intelligence Commercial Activities (ICAs) &lt;/td&gt; &lt;/tr&gt;</v>
      </c>
    </row>
    <row r="339" spans="1:9" x14ac:dyDescent="0.25">
      <c r="A339" t="s">
        <v>970</v>
      </c>
      <c r="B339" t="s">
        <v>871</v>
      </c>
      <c r="C339" t="str">
        <f t="shared" si="15"/>
        <v>3300.07</v>
      </c>
      <c r="D339" t="s">
        <v>1157</v>
      </c>
      <c r="E339" s="2">
        <v>44699</v>
      </c>
      <c r="G339" t="s">
        <v>339</v>
      </c>
      <c r="H339" t="str">
        <f t="shared" si="16"/>
        <v>https://federallibrary.us/DOD/DODI/3300.07/CURRENT/TITLE.html</v>
      </c>
      <c r="I339" t="str">
        <f t="shared" si="17"/>
        <v>&lt;tr&gt; &lt;td&gt; &lt;a href=https://federallibrary.us/DOD/DODI/3300.07/CURRENT/TITLE.html&gt; DODI 3300.07&lt;/a&gt; &lt;/td&gt; &lt;td&gt; Defense Intelligence Foreign Language and Regional and Culture Capabilities &lt;/td&gt; &lt;/tr&gt;</v>
      </c>
    </row>
    <row r="340" spans="1:9" x14ac:dyDescent="0.25">
      <c r="A340" t="s">
        <v>971</v>
      </c>
      <c r="B340" t="s">
        <v>845</v>
      </c>
      <c r="C340" t="str">
        <f t="shared" si="15"/>
        <v>3305.01</v>
      </c>
      <c r="D340" t="s">
        <v>1157</v>
      </c>
      <c r="E340" s="2">
        <v>44068</v>
      </c>
      <c r="G340" t="s">
        <v>340</v>
      </c>
      <c r="H340" t="str">
        <f t="shared" si="16"/>
        <v>https://federallibrary.us/DOD/DODI/3305.01/CURRENT/TITLE.html</v>
      </c>
      <c r="I340" t="str">
        <f t="shared" si="17"/>
        <v>&lt;tr&gt; &lt;td&gt; &lt;a href=https://federallibrary.us/DOD/DODI/3305.01/CURRENT/TITLE.html&gt; DODI 3305.01&lt;/a&gt; &lt;/td&gt; &lt;td&gt; National Intelligence University (NIU) &lt;/td&gt; &lt;/tr&gt;</v>
      </c>
    </row>
    <row r="341" spans="1:9" x14ac:dyDescent="0.25">
      <c r="A341" t="s">
        <v>971</v>
      </c>
      <c r="B341" t="s">
        <v>870</v>
      </c>
      <c r="C341" t="str">
        <f t="shared" si="15"/>
        <v>3305.02</v>
      </c>
      <c r="D341" t="s">
        <v>1157</v>
      </c>
      <c r="E341" s="2">
        <v>44102</v>
      </c>
      <c r="G341" t="s">
        <v>341</v>
      </c>
      <c r="H341" t="str">
        <f t="shared" si="16"/>
        <v>https://federallibrary.us/DOD/DODI/3305.02/CURRENT/TITLE.html</v>
      </c>
      <c r="I341" t="str">
        <f t="shared" si="17"/>
        <v>&lt;tr&gt; &lt;td&gt; &lt;a href=https://federallibrary.us/DOD/DODI/3305.02/CURRENT/TITLE.html&gt; DODI 3305.02&lt;/a&gt; &lt;/td&gt; &lt;td&gt; DoD General Intelligence Training and Certification &lt;/td&gt; &lt;/tr&gt;</v>
      </c>
    </row>
    <row r="342" spans="1:9" x14ac:dyDescent="0.25">
      <c r="A342" t="s">
        <v>971</v>
      </c>
      <c r="B342" t="s">
        <v>862</v>
      </c>
      <c r="C342" t="str">
        <f t="shared" si="15"/>
        <v>3305.09</v>
      </c>
      <c r="D342" t="s">
        <v>1157</v>
      </c>
      <c r="E342" s="2">
        <v>44095</v>
      </c>
      <c r="G342" t="s">
        <v>342</v>
      </c>
      <c r="H342" t="str">
        <f t="shared" si="16"/>
        <v>https://federallibrary.us/DOD/DODI/3305.09/CURRENT/TITLE.html</v>
      </c>
      <c r="I342" t="str">
        <f t="shared" si="17"/>
        <v>&lt;tr&gt; &lt;td&gt; &lt;a href=https://federallibrary.us/DOD/DODI/3305.09/CURRENT/TITLE.html&gt; DODI 3305.09&lt;/a&gt; &lt;/td&gt; &lt;td&gt; DoD Cryptologic Training &lt;/td&gt; &lt;/tr&gt;</v>
      </c>
    </row>
    <row r="343" spans="1:9" x14ac:dyDescent="0.25">
      <c r="A343" t="s">
        <v>971</v>
      </c>
      <c r="B343" t="s">
        <v>863</v>
      </c>
      <c r="C343" t="str">
        <f t="shared" si="15"/>
        <v>3305.10</v>
      </c>
      <c r="D343" t="s">
        <v>1157</v>
      </c>
      <c r="E343" s="2">
        <v>44099</v>
      </c>
      <c r="G343" t="s">
        <v>343</v>
      </c>
      <c r="H343" t="str">
        <f t="shared" si="16"/>
        <v>https://federallibrary.us/DOD/DODI/3305.10/CURRENT/TITLE.html</v>
      </c>
      <c r="I343" t="str">
        <f t="shared" si="17"/>
        <v>&lt;tr&gt; &lt;td&gt; &lt;a href=https://federallibrary.us/DOD/DODI/3305.10/CURRENT/TITLE.html&gt; DODI 3305.10&lt;/a&gt; &lt;/td&gt; &lt;td&gt; Geospatial-Intelligence (GEOINT) Training &lt;/td&gt; &lt;/tr&gt;</v>
      </c>
    </row>
    <row r="344" spans="1:9" x14ac:dyDescent="0.25">
      <c r="A344" t="s">
        <v>971</v>
      </c>
      <c r="B344" t="s">
        <v>847</v>
      </c>
      <c r="C344" t="str">
        <f t="shared" si="15"/>
        <v>3305.11</v>
      </c>
      <c r="D344" t="s">
        <v>1157</v>
      </c>
      <c r="E344" s="2">
        <v>44070</v>
      </c>
      <c r="G344" t="s">
        <v>344</v>
      </c>
      <c r="H344" t="str">
        <f t="shared" si="16"/>
        <v>https://federallibrary.us/DOD/DODI/3305.11/CURRENT/TITLE.html</v>
      </c>
      <c r="I344" t="str">
        <f t="shared" si="17"/>
        <v>&lt;tr&gt; &lt;td&gt; &lt;a href=https://federallibrary.us/DOD/DODI/3305.11/CURRENT/TITLE.html&gt; DODI 3305.11&lt;/a&gt; &lt;/td&gt; &lt;td&gt; DoD Counterintelligence (CI) Training and Certification &lt;/td&gt; &lt;/tr&gt;</v>
      </c>
    </row>
    <row r="345" spans="1:9" x14ac:dyDescent="0.25">
      <c r="A345" t="s">
        <v>971</v>
      </c>
      <c r="B345" t="s">
        <v>886</v>
      </c>
      <c r="C345" t="str">
        <f t="shared" si="15"/>
        <v>3305.12</v>
      </c>
      <c r="D345" t="s">
        <v>1157</v>
      </c>
      <c r="E345" s="2">
        <v>44123</v>
      </c>
      <c r="G345" t="s">
        <v>345</v>
      </c>
      <c r="H345" t="str">
        <f t="shared" si="16"/>
        <v>https://federallibrary.us/DOD/DODI/3305.12/CURRENT/TITLE.html</v>
      </c>
      <c r="I345" t="str">
        <f t="shared" si="17"/>
        <v>&lt;tr&gt; &lt;td&gt; &lt;a href=https://federallibrary.us/DOD/DODI/3305.12/CURRENT/TITLE.html&gt; DODI 3305.12&lt;/a&gt; &lt;/td&gt; &lt;td&gt; Intelligence and Counterintelligence (I&amp;CI) Training of Non-U.S. Persons &lt;/td&gt; &lt;/tr&gt;</v>
      </c>
    </row>
    <row r="346" spans="1:9" x14ac:dyDescent="0.25">
      <c r="A346" t="s">
        <v>971</v>
      </c>
      <c r="B346" t="s">
        <v>848</v>
      </c>
      <c r="C346" t="str">
        <f t="shared" si="15"/>
        <v>3305.13</v>
      </c>
      <c r="D346" t="s">
        <v>1157</v>
      </c>
      <c r="E346" s="2">
        <v>44098</v>
      </c>
      <c r="G346" t="s">
        <v>346</v>
      </c>
      <c r="H346" t="str">
        <f t="shared" si="16"/>
        <v>https://federallibrary.us/DOD/DODI/3305.13/CURRENT/TITLE.html</v>
      </c>
      <c r="I346" t="str">
        <f t="shared" si="17"/>
        <v>&lt;tr&gt; &lt;td&gt; &lt;a href=https://federallibrary.us/DOD/DODI/3305.13/CURRENT/TITLE.html&gt; DODI 3305.13&lt;/a&gt; &lt;/td&gt; &lt;td&gt; DoD Security Education, Training, and Certification &lt;/td&gt; &lt;/tr&gt;</v>
      </c>
    </row>
    <row r="347" spans="1:9" x14ac:dyDescent="0.25">
      <c r="A347" t="s">
        <v>971</v>
      </c>
      <c r="B347" t="s">
        <v>859</v>
      </c>
      <c r="C347" t="str">
        <f t="shared" si="15"/>
        <v>3305.14</v>
      </c>
      <c r="D347" t="s">
        <v>1157</v>
      </c>
      <c r="E347" s="2">
        <v>44099</v>
      </c>
      <c r="G347" t="s">
        <v>347</v>
      </c>
      <c r="H347" t="str">
        <f t="shared" si="16"/>
        <v>https://federallibrary.us/DOD/DODI/3305.14/CURRENT/TITLE.html</v>
      </c>
      <c r="I347" t="str">
        <f t="shared" si="17"/>
        <v>&lt;tr&gt; &lt;td&gt; &lt;a href=https://federallibrary.us/DOD/DODI/3305.14/CURRENT/TITLE.html&gt; DODI 3305.14&lt;/a&gt; &lt;/td&gt; &lt;td&gt; Joint Intelligence Training (JIT) and Certification &lt;/td&gt; &lt;/tr&gt;</v>
      </c>
    </row>
    <row r="348" spans="1:9" x14ac:dyDescent="0.25">
      <c r="A348" t="s">
        <v>971</v>
      </c>
      <c r="B348" t="s">
        <v>849</v>
      </c>
      <c r="C348" t="str">
        <f t="shared" si="15"/>
        <v>3305.15</v>
      </c>
      <c r="D348" t="s">
        <v>1157</v>
      </c>
      <c r="E348" s="2">
        <v>44068</v>
      </c>
      <c r="G348" t="s">
        <v>348</v>
      </c>
      <c r="H348" t="str">
        <f t="shared" si="16"/>
        <v>https://federallibrary.us/DOD/DODI/3305.15/CURRENT/TITLE.html</v>
      </c>
      <c r="I348" t="str">
        <f t="shared" si="17"/>
        <v>&lt;tr&gt; &lt;td&gt; &lt;a href=https://federallibrary.us/DOD/DODI/3305.15/CURRENT/TITLE.html&gt; DODI 3305.15&lt;/a&gt; &lt;/td&gt; &lt;td&gt; DoD Human Intelligence (HUMINT) Training and Certification &lt;/td&gt; &lt;/tr&gt;</v>
      </c>
    </row>
    <row r="349" spans="1:9" x14ac:dyDescent="0.25">
      <c r="A349" t="s">
        <v>971</v>
      </c>
      <c r="B349" t="s">
        <v>860</v>
      </c>
      <c r="C349" t="str">
        <f t="shared" si="15"/>
        <v>3305.16</v>
      </c>
      <c r="D349" t="s">
        <v>1157</v>
      </c>
      <c r="E349" s="2">
        <v>44105</v>
      </c>
      <c r="G349" t="s">
        <v>349</v>
      </c>
      <c r="H349" t="str">
        <f t="shared" si="16"/>
        <v>https://federallibrary.us/DOD/DODI/3305.16/CURRENT/TITLE.html</v>
      </c>
      <c r="I349" t="str">
        <f t="shared" si="17"/>
        <v>&lt;tr&gt; &lt;td&gt; &lt;a href=https://federallibrary.us/DOD/DODI/3305.16/CURRENT/TITLE.html&gt; DODI 3305.16&lt;/a&gt; &lt;/td&gt; &lt;td&gt; DoD Measurement and Signature Intelligence (MASINT) Training and Certification &lt;/td&gt; &lt;/tr&gt;</v>
      </c>
    </row>
    <row r="350" spans="1:9" x14ac:dyDescent="0.25">
      <c r="A350">
        <v>3325</v>
      </c>
      <c r="B350" t="s">
        <v>846</v>
      </c>
      <c r="C350" t="str">
        <f t="shared" si="15"/>
        <v>3325.04</v>
      </c>
      <c r="D350" t="s">
        <v>1157</v>
      </c>
      <c r="E350" s="2">
        <v>42047</v>
      </c>
      <c r="G350" t="s">
        <v>350</v>
      </c>
      <c r="H350" t="str">
        <f t="shared" si="16"/>
        <v>https://federallibrary.us/DOD/DODI/3325.04/CURRENT/TITLE.html</v>
      </c>
      <c r="I350" t="str">
        <f t="shared" si="17"/>
        <v>&lt;tr&gt; &lt;td&gt; &lt;a href=https://federallibrary.us/DOD/DODI/3325.04/CURRENT/TITLE.html&gt; DODI 3325.04&lt;/a&gt; &lt;/td&gt; &lt;td&gt; (U) Implementation of the Foreign Materiel Program (FMP) &lt;/td&gt; &lt;/tr&gt;</v>
      </c>
    </row>
    <row r="351" spans="1:9" x14ac:dyDescent="0.25">
      <c r="A351">
        <v>3325</v>
      </c>
      <c r="B351" t="s">
        <v>858</v>
      </c>
      <c r="C351" t="str">
        <f t="shared" si="15"/>
        <v>3325.06</v>
      </c>
      <c r="D351" t="s">
        <v>1157</v>
      </c>
      <c r="E351" s="2">
        <v>36605</v>
      </c>
      <c r="G351" t="s">
        <v>1</v>
      </c>
      <c r="H351" t="str">
        <f t="shared" si="16"/>
        <v>https://federallibrary.us/DOD/DODI/3325.06/CURRENT/TITLE.html</v>
      </c>
      <c r="I351" t="str">
        <f t="shared" si="17"/>
        <v>&lt;tr&gt; &lt;td&gt; &lt;a href=https://federallibrary.us/DOD/DODI/3325.06/CURRENT/TITLE.html&gt; DODI 3325.06&lt;/a&gt; &lt;/td&gt; &lt;td&gt; Classified Title &lt;/td&gt; &lt;/tr&gt;</v>
      </c>
    </row>
    <row r="352" spans="1:9" x14ac:dyDescent="0.25">
      <c r="A352">
        <v>3325</v>
      </c>
      <c r="B352" t="s">
        <v>871</v>
      </c>
      <c r="C352" t="str">
        <f t="shared" si="15"/>
        <v>3325.07</v>
      </c>
      <c r="D352" t="s">
        <v>1157</v>
      </c>
      <c r="E352" s="2">
        <v>44130</v>
      </c>
      <c r="G352" t="s">
        <v>351</v>
      </c>
      <c r="H352" t="str">
        <f t="shared" si="16"/>
        <v>https://federallibrary.us/DOD/DODI/3325.07/CURRENT/TITLE.html</v>
      </c>
      <c r="I352" t="str">
        <f t="shared" si="17"/>
        <v>&lt;tr&gt; &lt;td&gt; &lt;a href=https://federallibrary.us/DOD/DODI/3325.07/CURRENT/TITLE.html&gt; DODI 3325.07&lt;/a&gt; &lt;/td&gt; &lt;td&gt; (U) Guidance for the Conduct of DoD Human Source Validation &lt;/td&gt; &lt;/tr&gt;</v>
      </c>
    </row>
    <row r="353" spans="1:9" x14ac:dyDescent="0.25">
      <c r="A353" t="s">
        <v>972</v>
      </c>
      <c r="B353" t="s">
        <v>865</v>
      </c>
      <c r="C353" t="str">
        <f t="shared" si="15"/>
        <v>3325.08</v>
      </c>
      <c r="D353" t="s">
        <v>1157</v>
      </c>
      <c r="E353" s="2">
        <v>44069</v>
      </c>
      <c r="G353" t="s">
        <v>352</v>
      </c>
      <c r="H353" t="str">
        <f t="shared" si="16"/>
        <v>https://federallibrary.us/DOD/DODI/3325.08/CURRENT/TITLE.html</v>
      </c>
      <c r="I353" t="str">
        <f t="shared" si="17"/>
        <v>&lt;tr&gt; &lt;td&gt; &lt;a href=https://federallibrary.us/DOD/DODI/3325.08/CURRENT/TITLE.html&gt; DODI 3325.08&lt;/a&gt; &lt;/td&gt; &lt;td&gt; DoD Intelligence Collection Management &lt;/td&gt; &lt;/tr&gt;</v>
      </c>
    </row>
    <row r="354" spans="1:9" x14ac:dyDescent="0.25">
      <c r="A354">
        <v>3325</v>
      </c>
      <c r="B354" t="s">
        <v>863</v>
      </c>
      <c r="C354" t="str">
        <f t="shared" si="15"/>
        <v>3325.10</v>
      </c>
      <c r="D354" t="s">
        <v>1157</v>
      </c>
      <c r="E354" s="2">
        <v>43805</v>
      </c>
      <c r="G354" t="s">
        <v>353</v>
      </c>
      <c r="H354" t="str">
        <f t="shared" si="16"/>
        <v>https://federallibrary.us/DOD/DODI/3325.10/CURRENT/TITLE.html</v>
      </c>
      <c r="I354" t="str">
        <f t="shared" si="17"/>
        <v>&lt;tr&gt; &lt;td&gt; &lt;a href=https://federallibrary.us/DOD/DODI/3325.10/CURRENT/TITLE.html&gt; DODI 3325.10&lt;/a&gt; &lt;/td&gt; &lt;td&gt; (U) Human Intelligence (HUMINT) Activities in Cyberspace &lt;/td&gt; &lt;/tr&gt;</v>
      </c>
    </row>
    <row r="355" spans="1:9" x14ac:dyDescent="0.25">
      <c r="A355" t="s">
        <v>972</v>
      </c>
      <c r="B355" t="s">
        <v>847</v>
      </c>
      <c r="C355" t="str">
        <f t="shared" si="15"/>
        <v>3325.11</v>
      </c>
      <c r="D355" t="s">
        <v>1157</v>
      </c>
      <c r="E355" s="2">
        <v>44098</v>
      </c>
      <c r="G355" t="s">
        <v>354</v>
      </c>
      <c r="H355" t="str">
        <f t="shared" si="16"/>
        <v>https://federallibrary.us/DOD/DODI/3325.11/CURRENT/TITLE.html</v>
      </c>
      <c r="I355" t="str">
        <f t="shared" si="17"/>
        <v>&lt;tr&gt; &lt;td&gt; &lt;a href=https://federallibrary.us/DOD/DODI/3325.11/CURRENT/TITLE.html&gt; DODI 3325.11&lt;/a&gt; &lt;/td&gt; &lt;td&gt; Management of the Joint Reserve Intelligence Program (JRIP) &lt;/td&gt; &lt;/tr&gt;</v>
      </c>
    </row>
    <row r="356" spans="1:9" x14ac:dyDescent="0.25">
      <c r="A356">
        <v>3600</v>
      </c>
      <c r="B356" t="s">
        <v>870</v>
      </c>
      <c r="C356" t="str">
        <f t="shared" si="15"/>
        <v>3600.02</v>
      </c>
      <c r="D356" t="s">
        <v>1157</v>
      </c>
      <c r="E356" s="2">
        <v>38684</v>
      </c>
      <c r="G356" t="s">
        <v>355</v>
      </c>
      <c r="H356" t="str">
        <f t="shared" si="16"/>
        <v>https://federallibrary.us/DOD/DODI/3600.02/CURRENT/TITLE.html</v>
      </c>
      <c r="I356" t="str">
        <f t="shared" si="17"/>
        <v>&lt;tr&gt; &lt;td&gt; &lt;a href=https://federallibrary.us/DOD/DODI/3600.02/CURRENT/TITLE.html&gt; DODI 3600.02&lt;/a&gt; &lt;/td&gt; &lt;td&gt; Information Operation (IO) Security Classification Guidance (U) &lt;/td&gt; &lt;/tr&gt;</v>
      </c>
    </row>
    <row r="357" spans="1:9" x14ac:dyDescent="0.25">
      <c r="A357">
        <v>3600</v>
      </c>
      <c r="B357" t="s">
        <v>867</v>
      </c>
      <c r="C357" t="str">
        <f t="shared" si="15"/>
        <v>3600.03</v>
      </c>
      <c r="D357" t="s">
        <v>1157</v>
      </c>
      <c r="E357" s="2">
        <v>44580</v>
      </c>
      <c r="G357" t="s">
        <v>356</v>
      </c>
      <c r="H357" t="str">
        <f t="shared" si="16"/>
        <v>https://federallibrary.us/DOD/DODI/3600.03/CURRENT/TITLE.html</v>
      </c>
      <c r="I357" t="str">
        <f t="shared" si="17"/>
        <v>&lt;tr&gt; &lt;td&gt; &lt;a href=https://federallibrary.us/DOD/DODI/3600.03/CURRENT/TITLE.html&gt; DODI 3600.03&lt;/a&gt; &lt;/td&gt; &lt;td&gt; (U) Test and Evaluation of Cyberspace Effects and Enabling Capabilities &lt;/td&gt; &lt;/tr&gt;</v>
      </c>
    </row>
    <row r="358" spans="1:9" x14ac:dyDescent="0.25">
      <c r="A358">
        <v>3604</v>
      </c>
      <c r="B358" t="s">
        <v>845</v>
      </c>
      <c r="C358" t="str">
        <f t="shared" si="15"/>
        <v>3604.01</v>
      </c>
      <c r="D358" t="s">
        <v>1157</v>
      </c>
      <c r="E358" s="2">
        <v>43726</v>
      </c>
      <c r="G358" t="s">
        <v>357</v>
      </c>
      <c r="H358" t="str">
        <f t="shared" si="16"/>
        <v>https://federallibrary.us/DOD/DODI/3604.01/CURRENT/TITLE.html</v>
      </c>
      <c r="I358" t="str">
        <f t="shared" si="17"/>
        <v>&lt;tr&gt; &lt;td&gt; &lt;a href=https://federallibrary.us/DOD/DODI/3604.01/CURRENT/TITLE.html&gt; DODI 3604.01&lt;/a&gt; &lt;/td&gt; &lt;td&gt; (U) Department of Defense Military Deception &lt;/td&gt; &lt;/tr&gt;</v>
      </c>
    </row>
    <row r="359" spans="1:9" x14ac:dyDescent="0.25">
      <c r="A359">
        <v>3607</v>
      </c>
      <c r="B359" t="s">
        <v>870</v>
      </c>
      <c r="C359" t="str">
        <f t="shared" si="15"/>
        <v>3607.02</v>
      </c>
      <c r="D359" t="s">
        <v>1157</v>
      </c>
      <c r="E359" s="2">
        <v>42534</v>
      </c>
      <c r="G359" t="s">
        <v>358</v>
      </c>
      <c r="H359" t="str">
        <f t="shared" si="16"/>
        <v>https://federallibrary.us/DOD/DODI/3607.02/CURRENT/TITLE.html</v>
      </c>
      <c r="I359" t="str">
        <f t="shared" si="17"/>
        <v>&lt;tr&gt; &lt;td&gt; &lt;a href=https://federallibrary.us/DOD/DODI/3607.02/CURRENT/TITLE.html&gt; DODI 3607.02&lt;/a&gt; &lt;/td&gt; &lt;td&gt; Military Information Support Operations (MISO) &lt;/td&gt; &lt;/tr&gt;</v>
      </c>
    </row>
    <row r="360" spans="1:9" x14ac:dyDescent="0.25">
      <c r="A360" t="s">
        <v>973</v>
      </c>
      <c r="B360" t="s">
        <v>847</v>
      </c>
      <c r="C360" t="str">
        <f t="shared" si="15"/>
        <v>3608.11</v>
      </c>
      <c r="D360" t="s">
        <v>1157</v>
      </c>
      <c r="E360" s="2">
        <v>38660</v>
      </c>
      <c r="G360" t="s">
        <v>359</v>
      </c>
      <c r="H360" t="str">
        <f t="shared" si="16"/>
        <v>https://federallibrary.us/DOD/DODI/3608.11/CURRENT/TITLE.html</v>
      </c>
      <c r="I360" t="str">
        <f t="shared" si="17"/>
        <v>&lt;tr&gt; &lt;td&gt; &lt;a href=https://federallibrary.us/DOD/DODI/3608.11/CURRENT/TITLE.html&gt; DODI 3608.11&lt;/a&gt; &lt;/td&gt; &lt;td&gt; Information Operations Career Force &lt;/td&gt; &lt;/tr&gt;</v>
      </c>
    </row>
    <row r="361" spans="1:9" x14ac:dyDescent="0.25">
      <c r="A361" t="s">
        <v>973</v>
      </c>
      <c r="B361" t="s">
        <v>886</v>
      </c>
      <c r="C361" t="str">
        <f t="shared" si="15"/>
        <v>3608.12</v>
      </c>
      <c r="D361" t="s">
        <v>1157</v>
      </c>
      <c r="E361" s="2">
        <v>40883</v>
      </c>
      <c r="G361" t="s">
        <v>360</v>
      </c>
      <c r="H361" t="str">
        <f t="shared" si="16"/>
        <v>https://federallibrary.us/DOD/DODI/3608.12/CURRENT/TITLE.html</v>
      </c>
      <c r="I361" t="str">
        <f t="shared" si="17"/>
        <v>&lt;tr&gt; &lt;td&gt; &lt;a href=https://federallibrary.us/DOD/DODI/3608.12/CURRENT/TITLE.html&gt; DODI 3608.12&lt;/a&gt; &lt;/td&gt; &lt;td&gt; Joint Information Operations (IO) Education &lt;/td&gt; &lt;/tr&gt;</v>
      </c>
    </row>
    <row r="362" spans="1:9" x14ac:dyDescent="0.25">
      <c r="A362">
        <v>3710</v>
      </c>
      <c r="B362" t="s">
        <v>870</v>
      </c>
      <c r="C362" t="str">
        <f t="shared" si="15"/>
        <v>3710.02</v>
      </c>
      <c r="D362" t="s">
        <v>1157</v>
      </c>
      <c r="E362" s="2">
        <v>41932</v>
      </c>
      <c r="G362" t="s">
        <v>361</v>
      </c>
      <c r="H362" t="str">
        <f t="shared" si="16"/>
        <v>https://federallibrary.us/DOD/DODI/3710.02/CURRENT/TITLE.html</v>
      </c>
      <c r="I362" t="str">
        <f t="shared" si="17"/>
        <v>&lt;tr&gt; &lt;td&gt; &lt;a href=https://federallibrary.us/DOD/DODI/3710.02/CURRENT/TITLE.html&gt; DODI 3710.02&lt;/a&gt; &lt;/td&gt; &lt;td&gt; Secretary of Defense Communications (SDC) &lt;/td&gt; &lt;/tr&gt;</v>
      </c>
    </row>
    <row r="363" spans="1:9" x14ac:dyDescent="0.25">
      <c r="A363">
        <v>3710</v>
      </c>
      <c r="B363" t="s">
        <v>867</v>
      </c>
      <c r="C363" t="str">
        <f t="shared" si="15"/>
        <v>3710.03</v>
      </c>
      <c r="D363" t="s">
        <v>1157</v>
      </c>
      <c r="E363" s="2">
        <v>42747</v>
      </c>
      <c r="G363" t="s">
        <v>362</v>
      </c>
      <c r="H363" t="str">
        <f t="shared" si="16"/>
        <v>https://federallibrary.us/DOD/DODI/3710.03/CURRENT/TITLE.html</v>
      </c>
      <c r="I363" t="str">
        <f t="shared" si="17"/>
        <v>&lt;tr&gt; &lt;td&gt; &lt;a href=https://federallibrary.us/DOD/DODI/3710.03/CURRENT/TITLE.html&gt; DODI 3710.03&lt;/a&gt; &lt;/td&gt; &lt;td&gt; Chairman of the Joint Chiefs of Staff Airborne and Temporary Duty Communications &lt;/td&gt; &lt;/tr&gt;</v>
      </c>
    </row>
    <row r="364" spans="1:9" x14ac:dyDescent="0.25">
      <c r="A364">
        <v>3730</v>
      </c>
      <c r="B364" t="s">
        <v>845</v>
      </c>
      <c r="C364" t="str">
        <f t="shared" si="15"/>
        <v>3730.01</v>
      </c>
      <c r="D364" t="s">
        <v>1157</v>
      </c>
      <c r="E364" s="2">
        <v>44902</v>
      </c>
      <c r="G364" t="s">
        <v>363</v>
      </c>
      <c r="H364" t="str">
        <f t="shared" si="16"/>
        <v>https://federallibrary.us/DOD/DODI/3730.01/CURRENT/TITLE.html</v>
      </c>
      <c r="I364" t="str">
        <f t="shared" si="17"/>
        <v>&lt;tr&gt; &lt;td&gt; &lt;a href=https://federallibrary.us/DOD/DODI/3730.01/CURRENT/TITLE.html&gt; DODI 3730.01&lt;/a&gt; &lt;/td&gt; &lt;td&gt; (U) Nuclear Command, Control, and Communications (NC3) System &lt;/td&gt; &lt;/tr&gt;</v>
      </c>
    </row>
    <row r="365" spans="1:9" x14ac:dyDescent="0.25">
      <c r="A365" t="s">
        <v>974</v>
      </c>
      <c r="B365" t="s">
        <v>845</v>
      </c>
      <c r="C365" t="str">
        <f t="shared" si="15"/>
        <v>3741.01</v>
      </c>
      <c r="D365" t="s">
        <v>1157</v>
      </c>
      <c r="E365" s="2">
        <v>44027</v>
      </c>
      <c r="G365" t="s">
        <v>364</v>
      </c>
      <c r="H365" t="str">
        <f t="shared" si="16"/>
        <v>https://federallibrary.us/DOD/DODI/3741.01/CURRENT/TITLE.html</v>
      </c>
      <c r="I365" t="str">
        <f t="shared" si="17"/>
        <v>&lt;tr&gt; &lt;td&gt; &lt;a href=https://federallibrary.us/DOD/DODI/3741.01/CURRENT/TITLE.html&gt; DODI 3741.01&lt;/a&gt; &lt;/td&gt; &lt;td&gt; National Leadership Command Capabilities (NLCC) Configuration Management (CM) &lt;/td&gt; &lt;/tr&gt;</v>
      </c>
    </row>
    <row r="366" spans="1:9" x14ac:dyDescent="0.25">
      <c r="A366">
        <v>3780</v>
      </c>
      <c r="B366" t="s">
        <v>845</v>
      </c>
      <c r="C366" t="str">
        <f t="shared" si="15"/>
        <v>3780.01</v>
      </c>
      <c r="D366" t="s">
        <v>1157</v>
      </c>
      <c r="E366" s="2">
        <v>44021</v>
      </c>
      <c r="G366" t="s">
        <v>365</v>
      </c>
      <c r="H366" t="str">
        <f t="shared" si="16"/>
        <v>https://federallibrary.us/DOD/DODI/3780.01/CURRENT/TITLE.html</v>
      </c>
      <c r="I366" t="str">
        <f t="shared" si="17"/>
        <v>&lt;tr&gt; &lt;td&gt; &lt;a href=https://federallibrary.us/DOD/DODI/3780.01/CURRENT/TITLE.html&gt; DODI 3780.01&lt;/a&gt; &lt;/td&gt; &lt;td&gt; Senior Leader Secure Communications Modernization (SLSCM) &lt;/td&gt; &lt;/tr&gt;</v>
      </c>
    </row>
    <row r="367" spans="1:9" x14ac:dyDescent="0.25">
      <c r="A367">
        <v>3790</v>
      </c>
      <c r="B367" s="1" t="s">
        <v>870</v>
      </c>
      <c r="C367" t="str">
        <f t="shared" si="15"/>
        <v>3790.02</v>
      </c>
      <c r="D367" t="s">
        <v>1157</v>
      </c>
      <c r="E367" s="2">
        <v>45134</v>
      </c>
      <c r="G367" t="s">
        <v>366</v>
      </c>
      <c r="H367" t="str">
        <f t="shared" si="16"/>
        <v>https://federallibrary.us/DOD/DODI/3790.02/CURRENT/TITLE.html</v>
      </c>
      <c r="I367" t="str">
        <f t="shared" si="17"/>
        <v>&lt;tr&gt; &lt;td&gt; &lt;a href=https://federallibrary.us/DOD/DODI/3790.02/CURRENT/TITLE.html&gt; DODI 3790.02&lt;/a&gt; &lt;/td&gt; &lt;td&gt;  (U) Cable Security Fleet  &lt;/td&gt; &lt;/tr&gt;</v>
      </c>
    </row>
    <row r="368" spans="1:9" x14ac:dyDescent="0.25">
      <c r="A368" t="s">
        <v>975</v>
      </c>
      <c r="B368" t="s">
        <v>845</v>
      </c>
      <c r="C368" t="str">
        <f t="shared" si="15"/>
        <v>3901.01</v>
      </c>
      <c r="D368" t="s">
        <v>1157</v>
      </c>
      <c r="E368" s="2">
        <v>45286</v>
      </c>
      <c r="G368" t="s">
        <v>367</v>
      </c>
      <c r="H368" t="str">
        <f t="shared" si="16"/>
        <v>https://federallibrary.us/DOD/DODI/3901.01/CURRENT/TITLE.html</v>
      </c>
      <c r="I368" t="str">
        <f t="shared" si="17"/>
        <v>&lt;tr&gt; &lt;td&gt; &lt;a href=https://federallibrary.us/DOD/DODI/3901.01/CURRENT/TITLE.html&gt; DODI 3901.01&lt;/a&gt; &lt;/td&gt; &lt;td&gt;  Special Operations Policy And Oversight Council &lt;/td&gt; &lt;/tr&gt;</v>
      </c>
    </row>
    <row r="369" spans="1:9" x14ac:dyDescent="0.25">
      <c r="A369" t="s">
        <v>976</v>
      </c>
      <c r="B369" t="s">
        <v>845</v>
      </c>
      <c r="C369" t="str">
        <f t="shared" si="15"/>
        <v>3902.01</v>
      </c>
      <c r="D369" t="s">
        <v>1157</v>
      </c>
      <c r="E369" s="2">
        <v>45246</v>
      </c>
      <c r="G369" t="s">
        <v>368</v>
      </c>
      <c r="H369" t="str">
        <f t="shared" si="16"/>
        <v>https://federallibrary.us/DOD/DODI/3902.01/CURRENT/TITLE.html</v>
      </c>
      <c r="I369" t="str">
        <f t="shared" si="17"/>
        <v>&lt;tr&gt; &lt;td&gt; &lt;a href=https://federallibrary.us/DOD/DODI/3902.01/CURRENT/TITLE.html&gt; DODI 3902.01&lt;/a&gt; &lt;/td&gt; &lt;td&gt; Special Operations Forces Joint Combined Exchange Training Program &lt;/td&gt; &lt;/tr&gt;</v>
      </c>
    </row>
    <row r="370" spans="1:9" x14ac:dyDescent="0.25">
      <c r="A370" t="s">
        <v>976</v>
      </c>
      <c r="B370" t="s">
        <v>870</v>
      </c>
      <c r="C370" t="str">
        <f t="shared" si="15"/>
        <v>3902.02</v>
      </c>
      <c r="D370" t="s">
        <v>1157</v>
      </c>
      <c r="E370" s="2">
        <v>45155</v>
      </c>
      <c r="G370" t="s">
        <v>369</v>
      </c>
      <c r="H370" t="str">
        <f t="shared" si="16"/>
        <v>https://federallibrary.us/DOD/DODI/3902.02/CURRENT/TITLE.html</v>
      </c>
      <c r="I370" t="str">
        <f t="shared" si="17"/>
        <v>&lt;tr&gt; &lt;td&gt; &lt;a href=https://federallibrary.us/DOD/DODI/3902.02/CURRENT/TITLE.html&gt; DODI 3902.02&lt;/a&gt; &lt;/td&gt; &lt;td&gt; Special Operations Forces Foreign Language, Regional Expertise, and Culture Policy &lt;/td&gt; &lt;/tr&gt;</v>
      </c>
    </row>
    <row r="371" spans="1:9" x14ac:dyDescent="0.25">
      <c r="A371" t="s">
        <v>977</v>
      </c>
      <c r="B371" t="s">
        <v>893</v>
      </c>
      <c r="C371" t="str">
        <f t="shared" si="15"/>
        <v>4000.19</v>
      </c>
      <c r="D371" t="s">
        <v>1157</v>
      </c>
      <c r="E371" s="2">
        <v>44181</v>
      </c>
      <c r="G371" t="s">
        <v>370</v>
      </c>
      <c r="H371" t="str">
        <f t="shared" si="16"/>
        <v>https://federallibrary.us/DOD/DODI/4000.19/CURRENT/TITLE.html</v>
      </c>
      <c r="I371" t="str">
        <f t="shared" si="17"/>
        <v>&lt;tr&gt; &lt;td&gt; &lt;a href=https://federallibrary.us/DOD/DODI/4000.19/CURRENT/TITLE.html&gt; DODI 4000.19&lt;/a&gt; &lt;/td&gt; &lt;td&gt; Support Agreements &lt;/td&gt; &lt;/tr&gt;</v>
      </c>
    </row>
    <row r="372" spans="1:9" x14ac:dyDescent="0.25">
      <c r="A372" t="s">
        <v>978</v>
      </c>
      <c r="B372" t="s">
        <v>979</v>
      </c>
      <c r="C372" t="str">
        <f t="shared" si="15"/>
        <v>4105.67</v>
      </c>
      <c r="D372" t="s">
        <v>1157</v>
      </c>
      <c r="E372" s="2">
        <v>43070</v>
      </c>
      <c r="G372" t="s">
        <v>371</v>
      </c>
      <c r="H372" t="str">
        <f t="shared" si="16"/>
        <v>https://federallibrary.us/DOD/DODI/4105.67/CURRENT/TITLE.html</v>
      </c>
      <c r="I372" t="str">
        <f t="shared" si="17"/>
        <v>&lt;tr&gt; &lt;td&gt; &lt;a href=https://federallibrary.us/DOD/DODI/4105.67/CURRENT/TITLE.html&gt; DODI 4105.67&lt;/a&gt; &lt;/td&gt; &lt;td&gt; Nonappropriated Fund (NAF) Procurement Policy and Procedure &lt;/td&gt; &lt;/tr&gt;</v>
      </c>
    </row>
    <row r="373" spans="1:9" x14ac:dyDescent="0.25">
      <c r="A373" t="s">
        <v>978</v>
      </c>
      <c r="B373" t="s">
        <v>980</v>
      </c>
      <c r="C373" t="str">
        <f t="shared" si="15"/>
        <v>4105.70</v>
      </c>
      <c r="D373" t="s">
        <v>1157</v>
      </c>
      <c r="E373" s="2">
        <v>42704</v>
      </c>
      <c r="G373" t="s">
        <v>372</v>
      </c>
      <c r="H373" t="str">
        <f t="shared" si="16"/>
        <v>https://federallibrary.us/DOD/DODI/4105.70/CURRENT/TITLE.html</v>
      </c>
      <c r="I373" t="str">
        <f t="shared" si="17"/>
        <v>&lt;tr&gt; &lt;td&gt; &lt;a href=https://federallibrary.us/DOD/DODI/4105.70/CURRENT/TITLE.html&gt; DODI 4105.70&lt;/a&gt; &lt;/td&gt; &lt;td&gt; Prohibition of the Sale Or Rental of Sexually Explicit Material on DoD Property &lt;/td&gt; &lt;/tr&gt;</v>
      </c>
    </row>
    <row r="374" spans="1:9" x14ac:dyDescent="0.25">
      <c r="A374" t="s">
        <v>978</v>
      </c>
      <c r="B374" t="s">
        <v>981</v>
      </c>
      <c r="C374" t="str">
        <f t="shared" si="15"/>
        <v>4105.72</v>
      </c>
      <c r="D374" t="s">
        <v>1157</v>
      </c>
      <c r="E374" s="2">
        <v>43343</v>
      </c>
      <c r="G374" t="s">
        <v>373</v>
      </c>
      <c r="H374" t="str">
        <f t="shared" si="16"/>
        <v>https://federallibrary.us/DOD/DODI/4105.72/CURRENT/TITLE.html</v>
      </c>
      <c r="I374" t="str">
        <f t="shared" si="17"/>
        <v>&lt;tr&gt; &lt;td&gt; &lt;a href=https://federallibrary.us/DOD/DODI/4105.72/CURRENT/TITLE.html&gt; DODI 4105.72&lt;/a&gt; &lt;/td&gt; &lt;td&gt; Procurement of Sustainable Goods and Services &lt;/td&gt; &lt;/tr&gt;</v>
      </c>
    </row>
    <row r="375" spans="1:9" x14ac:dyDescent="0.25">
      <c r="A375" t="s">
        <v>982</v>
      </c>
      <c r="B375" t="s">
        <v>847</v>
      </c>
      <c r="C375" t="str">
        <f t="shared" si="15"/>
        <v>4120.11</v>
      </c>
      <c r="D375" t="s">
        <v>1157</v>
      </c>
      <c r="E375" s="2">
        <v>43336</v>
      </c>
      <c r="G375" t="s">
        <v>374</v>
      </c>
      <c r="H375" t="str">
        <f t="shared" si="16"/>
        <v>https://federallibrary.us/DOD/DODI/4120.11/CURRENT/TITLE.html</v>
      </c>
      <c r="I375" t="str">
        <f t="shared" si="17"/>
        <v>&lt;tr&gt; &lt;td&gt; &lt;a href=https://federallibrary.us/DOD/DODI/4120.11/CURRENT/TITLE.html&gt; DODI 4120.11&lt;/a&gt; &lt;/td&gt; &lt;td&gt; Mobile Electric Power Systems (MEPS) &lt;/td&gt; &lt;/tr&gt;</v>
      </c>
    </row>
    <row r="376" spans="1:9" x14ac:dyDescent="0.25">
      <c r="A376" t="s">
        <v>982</v>
      </c>
      <c r="B376" t="s">
        <v>849</v>
      </c>
      <c r="C376" t="str">
        <f t="shared" si="15"/>
        <v>4120.15</v>
      </c>
      <c r="D376" t="s">
        <v>1157</v>
      </c>
      <c r="E376" s="2">
        <v>45232</v>
      </c>
      <c r="G376" t="s">
        <v>375</v>
      </c>
      <c r="H376" t="str">
        <f t="shared" si="16"/>
        <v>https://federallibrary.us/DOD/DODI/4120.15/CURRENT/TITLE.html</v>
      </c>
      <c r="I376" t="str">
        <f t="shared" si="17"/>
        <v>&lt;tr&gt; &lt;td&gt; &lt;a href=https://federallibrary.us/DOD/DODI/4120.15/CURRENT/TITLE.html&gt; DODI 4120.15&lt;/a&gt; &lt;/td&gt; &lt;td&gt; Designating And Naming Military Aerospace Vehicles &lt;/td&gt; &lt;/tr&gt;</v>
      </c>
    </row>
    <row r="377" spans="1:9" x14ac:dyDescent="0.25">
      <c r="A377" t="s">
        <v>982</v>
      </c>
      <c r="B377" t="s">
        <v>878</v>
      </c>
      <c r="C377" t="str">
        <f t="shared" si="15"/>
        <v>4120.24</v>
      </c>
      <c r="D377" t="s">
        <v>1157</v>
      </c>
      <c r="E377" s="2">
        <v>44651</v>
      </c>
      <c r="G377" t="s">
        <v>376</v>
      </c>
      <c r="H377" t="str">
        <f t="shared" si="16"/>
        <v>https://federallibrary.us/DOD/DODI/4120.24/CURRENT/TITLE.html</v>
      </c>
      <c r="I377" t="str">
        <f t="shared" si="17"/>
        <v>&lt;tr&gt; &lt;td&gt; &lt;a href=https://federallibrary.us/DOD/DODI/4120.24/CURRENT/TITLE.html&gt; DODI 4120.24&lt;/a&gt; &lt;/td&gt; &lt;td&gt; Defense Standardization Program &lt;/td&gt; &lt;/tr&gt;</v>
      </c>
    </row>
    <row r="378" spans="1:9" x14ac:dyDescent="0.25">
      <c r="A378" t="s">
        <v>983</v>
      </c>
      <c r="B378" t="s">
        <v>845</v>
      </c>
      <c r="C378" t="str">
        <f t="shared" si="15"/>
        <v>4140.01</v>
      </c>
      <c r="D378" t="s">
        <v>1157</v>
      </c>
      <c r="E378" s="2">
        <v>43530</v>
      </c>
      <c r="G378" t="s">
        <v>377</v>
      </c>
      <c r="H378" t="str">
        <f t="shared" si="16"/>
        <v>https://federallibrary.us/DOD/DODI/4140.01/CURRENT/TITLE.html</v>
      </c>
      <c r="I378" t="str">
        <f t="shared" si="17"/>
        <v>&lt;tr&gt; &lt;td&gt; &lt;a href=https://federallibrary.us/DOD/DODI/4140.01/CURRENT/TITLE.html&gt; DODI 4140.01&lt;/a&gt; &lt;/td&gt; &lt;td&gt; DoD Supply Chain Materiel Management Policy &lt;/td&gt; &lt;/tr&gt;</v>
      </c>
    </row>
    <row r="379" spans="1:9" x14ac:dyDescent="0.25">
      <c r="A379" t="s">
        <v>983</v>
      </c>
      <c r="B379" t="s">
        <v>851</v>
      </c>
      <c r="C379" t="str">
        <f t="shared" si="15"/>
        <v>4140.25</v>
      </c>
      <c r="D379" t="s">
        <v>1157</v>
      </c>
      <c r="E379" s="2">
        <v>43830</v>
      </c>
      <c r="G379" t="s">
        <v>378</v>
      </c>
      <c r="H379" t="str">
        <f t="shared" si="16"/>
        <v>https://federallibrary.us/DOD/DODI/4140.25/CURRENT/TITLE.html</v>
      </c>
      <c r="I379" t="str">
        <f t="shared" si="17"/>
        <v>&lt;tr&gt; &lt;td&gt; &lt;a href=https://federallibrary.us/DOD/DODI/4140.25/CURRENT/TITLE.html&gt; DODI 4140.25&lt;/a&gt; &lt;/td&gt; &lt;td&gt; DoD Management Policy for Energy Commodities and Related Services &lt;/td&gt; &lt;/tr&gt;</v>
      </c>
    </row>
    <row r="380" spans="1:9" x14ac:dyDescent="0.25">
      <c r="A380" t="s">
        <v>983</v>
      </c>
      <c r="B380" t="s">
        <v>984</v>
      </c>
      <c r="C380" t="str">
        <f t="shared" si="15"/>
        <v>4140.58</v>
      </c>
      <c r="D380" t="s">
        <v>1157</v>
      </c>
      <c r="E380" s="2">
        <v>44740</v>
      </c>
      <c r="G380" t="s">
        <v>379</v>
      </c>
      <c r="H380" t="str">
        <f t="shared" si="16"/>
        <v>https://federallibrary.us/DOD/DODI/4140.58/CURRENT/TITLE.html</v>
      </c>
      <c r="I380" t="str">
        <f t="shared" si="17"/>
        <v>&lt;tr&gt; &lt;td&gt; &lt;a href=https://federallibrary.us/DOD/DODI/4140.58/CURRENT/TITLE.html&gt; DODI 4140.58&lt;/a&gt; &lt;/td&gt; &lt;td&gt; National Guard and Reserve Equipment Report &lt;/td&gt; &lt;/tr&gt;</v>
      </c>
    </row>
    <row r="381" spans="1:9" x14ac:dyDescent="0.25">
      <c r="A381" t="s">
        <v>983</v>
      </c>
      <c r="B381" t="s">
        <v>985</v>
      </c>
      <c r="C381" t="str">
        <f t="shared" si="15"/>
        <v>4140.62</v>
      </c>
      <c r="D381" t="s">
        <v>1157</v>
      </c>
      <c r="E381" s="2">
        <v>43717</v>
      </c>
      <c r="G381" t="s">
        <v>380</v>
      </c>
      <c r="H381" t="str">
        <f t="shared" si="16"/>
        <v>https://federallibrary.us/DOD/DODI/4140.62/CURRENT/TITLE.html</v>
      </c>
      <c r="I381" t="str">
        <f t="shared" si="17"/>
        <v>&lt;tr&gt; &lt;td&gt; &lt;a href=https://federallibrary.us/DOD/DODI/4140.62/CURRENT/TITLE.html&gt; DODI 4140.62&lt;/a&gt; &lt;/td&gt; &lt;td&gt; Material Potentially Presenting An Explosive Hazard (MPPEH) &lt;/td&gt; &lt;/tr&gt;</v>
      </c>
    </row>
    <row r="382" spans="1:9" x14ac:dyDescent="0.25">
      <c r="A382" t="s">
        <v>983</v>
      </c>
      <c r="B382" t="s">
        <v>986</v>
      </c>
      <c r="C382" t="str">
        <f t="shared" si="15"/>
        <v>4140.63</v>
      </c>
      <c r="D382" t="s">
        <v>1157</v>
      </c>
      <c r="E382" s="2">
        <v>43623</v>
      </c>
      <c r="G382" t="s">
        <v>381</v>
      </c>
      <c r="H382" t="str">
        <f t="shared" si="16"/>
        <v>https://federallibrary.us/DOD/DODI/4140.63/CURRENT/TITLE.html</v>
      </c>
      <c r="I382" t="str">
        <f t="shared" si="17"/>
        <v>&lt;tr&gt; &lt;td&gt; &lt;a href=https://federallibrary.us/DOD/DODI/4140.63/CURRENT/TITLE.html&gt; DODI 4140.63&lt;/a&gt; &lt;/td&gt; &lt;td&gt; Management of DoD Clothing and Textiles (Class II) &lt;/td&gt; &lt;/tr&gt;</v>
      </c>
    </row>
    <row r="383" spans="1:9" x14ac:dyDescent="0.25">
      <c r="A383" t="s">
        <v>983</v>
      </c>
      <c r="B383" t="s">
        <v>987</v>
      </c>
      <c r="C383" t="str">
        <f t="shared" si="15"/>
        <v>4140.66</v>
      </c>
      <c r="D383" t="s">
        <v>1157</v>
      </c>
      <c r="E383" s="2">
        <v>42879</v>
      </c>
      <c r="G383" t="s">
        <v>382</v>
      </c>
      <c r="H383" t="str">
        <f t="shared" si="16"/>
        <v>https://federallibrary.us/DOD/DODI/4140.66/CURRENT/TITLE.html</v>
      </c>
      <c r="I383" t="str">
        <f t="shared" si="17"/>
        <v>&lt;tr&gt; &lt;td&gt; &lt;a href=https://federallibrary.us/DOD/DODI/4140.66/CURRENT/TITLE.html&gt; DODI 4140.66&lt;/a&gt; &lt;/td&gt; &lt;td&gt; Registration and End-Use Monitoring of Defense Articles and/or Defense Services &lt;/td&gt; &lt;/tr&gt;</v>
      </c>
    </row>
    <row r="384" spans="1:9" x14ac:dyDescent="0.25">
      <c r="A384" t="s">
        <v>983</v>
      </c>
      <c r="B384" t="s">
        <v>979</v>
      </c>
      <c r="C384" t="str">
        <f t="shared" si="15"/>
        <v>4140.67</v>
      </c>
      <c r="D384" t="s">
        <v>1157</v>
      </c>
      <c r="E384" s="2">
        <v>45324</v>
      </c>
      <c r="G384" t="s">
        <v>383</v>
      </c>
      <c r="H384" t="str">
        <f t="shared" si="16"/>
        <v>https://federallibrary.us/DOD/DODI/4140.67/CURRENT/TITLE.html</v>
      </c>
      <c r="I384" t="str">
        <f t="shared" si="17"/>
        <v>&lt;tr&gt; &lt;td&gt; &lt;a href=https://federallibrary.us/DOD/DODI/4140.67/CURRENT/TITLE.html&gt; DODI 4140.67&lt;/a&gt; &lt;/td&gt; &lt;td&gt; DoD Counterfeit Prevention Policy &lt;/td&gt; &lt;/tr&gt;</v>
      </c>
    </row>
    <row r="385" spans="1:9" x14ac:dyDescent="0.25">
      <c r="A385" t="s">
        <v>983</v>
      </c>
      <c r="B385" t="s">
        <v>988</v>
      </c>
      <c r="C385" t="str">
        <f t="shared" si="15"/>
        <v>4140.69</v>
      </c>
      <c r="D385" t="s">
        <v>1157</v>
      </c>
      <c r="E385" s="2">
        <v>43826</v>
      </c>
      <c r="G385" t="s">
        <v>384</v>
      </c>
      <c r="H385" t="str">
        <f t="shared" si="16"/>
        <v>https://federallibrary.us/DOD/DODI/4140.69/CURRENT/TITLE.html</v>
      </c>
      <c r="I385" t="str">
        <f t="shared" si="17"/>
        <v>&lt;tr&gt; &lt;td&gt; &lt;a href=https://federallibrary.us/DOD/DODI/4140.69/CURRENT/TITLE.html&gt; DODI 4140.69&lt;/a&gt; &lt;/td&gt; &lt;td&gt; Engineering Support Instructions for Items Supplied by Defense Logistics Agency (DLA) &lt;/td&gt; &lt;/tr&gt;</v>
      </c>
    </row>
    <row r="386" spans="1:9" x14ac:dyDescent="0.25">
      <c r="A386" t="s">
        <v>983</v>
      </c>
      <c r="B386" t="s">
        <v>989</v>
      </c>
      <c r="C386" t="str">
        <f t="shared" si="15"/>
        <v>4140.71</v>
      </c>
      <c r="D386" t="s">
        <v>1157</v>
      </c>
      <c r="E386" s="2">
        <v>43643</v>
      </c>
      <c r="G386" t="s">
        <v>385</v>
      </c>
      <c r="H386" t="str">
        <f t="shared" si="16"/>
        <v>https://federallibrary.us/DOD/DODI/4140.71/CURRENT/TITLE.html</v>
      </c>
      <c r="I386" t="str">
        <f t="shared" si="17"/>
        <v>&lt;tr&gt; &lt;td&gt; &lt;a href=https://federallibrary.us/DOD/DODI/4140.71/CURRENT/TITLE.html&gt; DODI 4140.71&lt;/a&gt; &lt;/td&gt; &lt;td&gt; Management of DoD Construction and Barrier Material &lt;/td&gt; &lt;/tr&gt;</v>
      </c>
    </row>
    <row r="387" spans="1:9" x14ac:dyDescent="0.25">
      <c r="A387" t="s">
        <v>983</v>
      </c>
      <c r="B387" t="s">
        <v>990</v>
      </c>
      <c r="C387" t="str">
        <f t="shared" ref="C387:C450" si="18">_xlfn.CONCAT(A387,".",B387)</f>
        <v>4140.73</v>
      </c>
      <c r="D387" t="s">
        <v>1157</v>
      </c>
      <c r="E387" s="2">
        <v>44351</v>
      </c>
      <c r="G387" t="s">
        <v>386</v>
      </c>
      <c r="H387" t="str">
        <f t="shared" ref="H387:H450" si="19">IF(D387="CURRENT",_xlfn.CONCAT("https://federallibrary.us/DOD/DODI/",C387,"/CURRENT/TITLE.html"),"")</f>
        <v>https://federallibrary.us/DOD/DODI/4140.73/CURRENT/TITLE.html</v>
      </c>
      <c r="I387" t="str">
        <f t="shared" ref="I387:I450" si="20">IF(D387="CURRENT",_xlfn.CONCAT("&lt;tr&gt; &lt;td&gt; &lt;a href=",H387,"&gt; DODI ",C387, "&lt;/a&gt; &lt;/td&gt; &lt;td&gt; ", G387, " &lt;/td&gt; &lt;/tr&gt;"),"")</f>
        <v>&lt;tr&gt; &lt;td&gt; &lt;a href=https://federallibrary.us/DOD/DODI/4140.73/CURRENT/TITLE.html&gt; DODI 4140.73&lt;/a&gt; &lt;/td&gt; &lt;td&gt; Asset Physical Accountability Policy &lt;/td&gt; &lt;/tr&gt;</v>
      </c>
    </row>
    <row r="388" spans="1:9" x14ac:dyDescent="0.25">
      <c r="A388" t="s">
        <v>991</v>
      </c>
      <c r="B388" t="s">
        <v>894</v>
      </c>
      <c r="C388" t="str">
        <f t="shared" si="18"/>
        <v>4145.26</v>
      </c>
      <c r="D388" t="s">
        <v>1157</v>
      </c>
      <c r="E388" s="2">
        <v>43343</v>
      </c>
      <c r="G388" t="s">
        <v>387</v>
      </c>
      <c r="H388" t="str">
        <f t="shared" si="19"/>
        <v>https://federallibrary.us/DOD/DODI/4145.26/CURRENT/TITLE.html</v>
      </c>
      <c r="I388" t="str">
        <f t="shared" si="20"/>
        <v>&lt;tr&gt; &lt;td&gt; &lt;a href=https://federallibrary.us/DOD/DODI/4145.26/CURRENT/TITLE.html&gt; DODI 4145.26&lt;/a&gt; &lt;/td&gt; &lt;td&gt; DoD Contractor's Safety Requirements for Ammunition and Explosives &lt;/td&gt; &lt;/tr&gt;</v>
      </c>
    </row>
    <row r="389" spans="1:9" x14ac:dyDescent="0.25">
      <c r="A389" t="s">
        <v>992</v>
      </c>
      <c r="B389" t="s">
        <v>871</v>
      </c>
      <c r="C389" t="str">
        <f t="shared" si="18"/>
        <v>4150.07</v>
      </c>
      <c r="D389" t="s">
        <v>1157</v>
      </c>
      <c r="E389" s="2">
        <v>43825</v>
      </c>
      <c r="G389" t="s">
        <v>388</v>
      </c>
      <c r="H389" t="str">
        <f t="shared" si="19"/>
        <v>https://federallibrary.us/DOD/DODI/4150.07/CURRENT/TITLE.html</v>
      </c>
      <c r="I389" t="str">
        <f t="shared" si="20"/>
        <v>&lt;tr&gt; &lt;td&gt; &lt;a href=https://federallibrary.us/DOD/DODI/4150.07/CURRENT/TITLE.html&gt; DODI 4150.07&lt;/a&gt; &lt;/td&gt; &lt;td&gt; DoD Pest Management Program &lt;/td&gt; &lt;/tr&gt;</v>
      </c>
    </row>
    <row r="390" spans="1:9" x14ac:dyDescent="0.25">
      <c r="A390" t="s">
        <v>993</v>
      </c>
      <c r="B390" t="s">
        <v>893</v>
      </c>
      <c r="C390" t="str">
        <f t="shared" si="18"/>
        <v>4151.19</v>
      </c>
      <c r="D390" t="s">
        <v>1157</v>
      </c>
      <c r="E390" s="2">
        <v>43343</v>
      </c>
      <c r="G390" t="s">
        <v>389</v>
      </c>
      <c r="H390" t="str">
        <f t="shared" si="19"/>
        <v>https://federallibrary.us/DOD/DODI/4151.19/CURRENT/TITLE.html</v>
      </c>
      <c r="I390" t="str">
        <f t="shared" si="20"/>
        <v>&lt;tr&gt; &lt;td&gt; &lt;a href=https://federallibrary.us/DOD/DODI/4151.19/CURRENT/TITLE.html&gt; DODI 4151.19&lt;/a&gt; &lt;/td&gt; &lt;td&gt; Serialized Item Management (SIM) for Life-Cycle Management of Materiel &lt;/td&gt; &lt;/tr&gt;</v>
      </c>
    </row>
    <row r="391" spans="1:9" x14ac:dyDescent="0.25">
      <c r="A391" t="s">
        <v>993</v>
      </c>
      <c r="B391" t="s">
        <v>905</v>
      </c>
      <c r="C391" t="str">
        <f t="shared" si="18"/>
        <v>4151.20</v>
      </c>
      <c r="D391" t="s">
        <v>1157</v>
      </c>
      <c r="E391" s="2">
        <v>43343</v>
      </c>
      <c r="G391" t="s">
        <v>390</v>
      </c>
      <c r="H391" t="str">
        <f t="shared" si="19"/>
        <v>https://federallibrary.us/DOD/DODI/4151.20/CURRENT/TITLE.html</v>
      </c>
      <c r="I391" t="str">
        <f t="shared" si="20"/>
        <v>&lt;tr&gt; &lt;td&gt; &lt;a href=https://federallibrary.us/DOD/DODI/4151.20/CURRENT/TITLE.html&gt; DODI 4151.20&lt;/a&gt; &lt;/td&gt; &lt;td&gt; Depot Maintenance Core Capabilities Determination Process &lt;/td&gt; &lt;/tr&gt;</v>
      </c>
    </row>
    <row r="392" spans="1:9" x14ac:dyDescent="0.25">
      <c r="A392" t="s">
        <v>993</v>
      </c>
      <c r="B392" t="s">
        <v>875</v>
      </c>
      <c r="C392" t="str">
        <f t="shared" si="18"/>
        <v>4151.21</v>
      </c>
      <c r="D392" t="s">
        <v>1157</v>
      </c>
      <c r="E392" s="2">
        <v>43677</v>
      </c>
      <c r="G392" t="s">
        <v>391</v>
      </c>
      <c r="H392" t="str">
        <f t="shared" si="19"/>
        <v>https://federallibrary.us/DOD/DODI/4151.21/CURRENT/TITLE.html</v>
      </c>
      <c r="I392" t="str">
        <f t="shared" si="20"/>
        <v>&lt;tr&gt; &lt;td&gt; &lt;a href=https://federallibrary.us/DOD/DODI/4151.21/CURRENT/TITLE.html&gt; DODI 4151.21&lt;/a&gt; &lt;/td&gt; &lt;td&gt; Public-Private Partnerships for Product Support &lt;/td&gt; &lt;/tr&gt;</v>
      </c>
    </row>
    <row r="393" spans="1:9" x14ac:dyDescent="0.25">
      <c r="A393" t="s">
        <v>993</v>
      </c>
      <c r="B393" t="s">
        <v>876</v>
      </c>
      <c r="C393" t="str">
        <f t="shared" si="18"/>
        <v>4151.22</v>
      </c>
      <c r="D393" t="s">
        <v>1157</v>
      </c>
      <c r="E393" s="2">
        <v>44057</v>
      </c>
      <c r="G393" t="s">
        <v>392</v>
      </c>
      <c r="H393" t="str">
        <f t="shared" si="19"/>
        <v>https://federallibrary.us/DOD/DODI/4151.22/CURRENT/TITLE.html</v>
      </c>
      <c r="I393" t="str">
        <f t="shared" si="20"/>
        <v>&lt;tr&gt; &lt;td&gt; &lt;a href=https://federallibrary.us/DOD/DODI/4151.22/CURRENT/TITLE.html&gt; DODI 4151.22&lt;/a&gt; &lt;/td&gt; &lt;td&gt; Condition-Based Maintenance Plus for Materiel Maintenance &lt;/td&gt; &lt;/tr&gt;</v>
      </c>
    </row>
    <row r="394" spans="1:9" x14ac:dyDescent="0.25">
      <c r="A394" t="s">
        <v>993</v>
      </c>
      <c r="B394" t="s">
        <v>878</v>
      </c>
      <c r="C394" t="str">
        <f t="shared" si="18"/>
        <v>4151.24</v>
      </c>
      <c r="D394" t="s">
        <v>1157</v>
      </c>
      <c r="E394" s="2">
        <v>45237</v>
      </c>
      <c r="G394" t="s">
        <v>393</v>
      </c>
      <c r="H394" t="str">
        <f t="shared" si="19"/>
        <v>https://federallibrary.us/DOD/DODI/4151.24/CURRENT/TITLE.html</v>
      </c>
      <c r="I394" t="str">
        <f t="shared" si="20"/>
        <v>&lt;tr&gt; &lt;td&gt; &lt;a href=https://federallibrary.us/DOD/DODI/4151.24/CURRENT/TITLE.html&gt; DODI 4151.24&lt;/a&gt; &lt;/td&gt; &lt;td&gt; Depot Source of Repair Assignment Determination Process &lt;/td&gt; &lt;/tr&gt;</v>
      </c>
    </row>
    <row r="395" spans="1:9" x14ac:dyDescent="0.25">
      <c r="A395" t="s">
        <v>993</v>
      </c>
      <c r="B395" t="s">
        <v>894</v>
      </c>
      <c r="C395" t="str">
        <f t="shared" si="18"/>
        <v>4151.26</v>
      </c>
      <c r="D395" t="s">
        <v>1157</v>
      </c>
      <c r="E395" s="2">
        <v>44865</v>
      </c>
      <c r="G395" t="s">
        <v>394</v>
      </c>
      <c r="H395" t="str">
        <f t="shared" si="19"/>
        <v>https://federallibrary.us/DOD/DODI/4151.26/CURRENT/TITLE.html</v>
      </c>
      <c r="I395" t="str">
        <f t="shared" si="20"/>
        <v>&lt;tr&gt; &lt;td&gt; &lt;a href=https://federallibrary.us/DOD/DODI/4151.26/CURRENT/TITLE.html&gt; DODI 4151.26&lt;/a&gt; &lt;/td&gt; &lt;td&gt; DoD Inter-Service Depot Maintenance  &lt;/td&gt; &lt;/tr&gt;</v>
      </c>
    </row>
    <row r="396" spans="1:9" x14ac:dyDescent="0.25">
      <c r="A396" t="s">
        <v>994</v>
      </c>
      <c r="B396" t="s">
        <v>853</v>
      </c>
      <c r="C396" t="str">
        <f t="shared" si="18"/>
        <v>4160.28</v>
      </c>
      <c r="D396" t="s">
        <v>1157</v>
      </c>
      <c r="E396" s="2">
        <v>44895</v>
      </c>
      <c r="G396" t="s">
        <v>395</v>
      </c>
      <c r="H396" t="str">
        <f t="shared" si="19"/>
        <v>https://federallibrary.us/DOD/DODI/4160.28/CURRENT/TITLE.html</v>
      </c>
      <c r="I396" t="str">
        <f t="shared" si="20"/>
        <v>&lt;tr&gt; &lt;td&gt; &lt;a href=https://federallibrary.us/DOD/DODI/4160.28/CURRENT/TITLE.html&gt; DODI 4160.28&lt;/a&gt; &lt;/td&gt; &lt;td&gt; DoD Demilitarization Program &lt;/td&gt; &lt;/tr&gt;</v>
      </c>
    </row>
    <row r="397" spans="1:9" x14ac:dyDescent="0.25">
      <c r="A397" t="s">
        <v>995</v>
      </c>
      <c r="B397" t="s">
        <v>870</v>
      </c>
      <c r="C397" t="str">
        <f t="shared" si="18"/>
        <v>4161.02</v>
      </c>
      <c r="D397" t="s">
        <v>1157</v>
      </c>
      <c r="E397" s="2">
        <v>43343</v>
      </c>
      <c r="G397" t="s">
        <v>396</v>
      </c>
      <c r="H397" t="str">
        <f t="shared" si="19"/>
        <v>https://federallibrary.us/DOD/DODI/4161.02/CURRENT/TITLE.html</v>
      </c>
      <c r="I397" t="str">
        <f t="shared" si="20"/>
        <v>&lt;tr&gt; &lt;td&gt; &lt;a href=https://federallibrary.us/DOD/DODI/4161.02/CURRENT/TITLE.html&gt; DODI 4161.02&lt;/a&gt; &lt;/td&gt; &lt;td&gt; Accountability and Management of Government Contract Property &lt;/td&gt; &lt;/tr&gt;</v>
      </c>
    </row>
    <row r="398" spans="1:9" x14ac:dyDescent="0.25">
      <c r="A398" t="s">
        <v>996</v>
      </c>
      <c r="B398" t="s">
        <v>867</v>
      </c>
      <c r="C398" t="str">
        <f t="shared" si="18"/>
        <v>4165.03</v>
      </c>
      <c r="D398" t="s">
        <v>1157</v>
      </c>
      <c r="E398" s="2">
        <v>44931</v>
      </c>
      <c r="G398" t="s">
        <v>397</v>
      </c>
      <c r="H398" t="str">
        <f t="shared" si="19"/>
        <v>https://federallibrary.us/DOD/DODI/4165.03/CURRENT/TITLE.html</v>
      </c>
      <c r="I398" t="str">
        <f t="shared" si="20"/>
        <v>&lt;tr&gt; &lt;td&gt; &lt;a href=https://federallibrary.us/DOD/DODI/4165.03/CURRENT/TITLE.html&gt; DODI 4165.03&lt;/a&gt; &lt;/td&gt; &lt;td&gt; DoD Real Property Categorization &lt;/td&gt; &lt;/tr&gt;</v>
      </c>
    </row>
    <row r="399" spans="1:9" x14ac:dyDescent="0.25">
      <c r="A399" t="s">
        <v>996</v>
      </c>
      <c r="B399" t="s">
        <v>859</v>
      </c>
      <c r="C399" t="str">
        <f t="shared" si="18"/>
        <v>4165.14</v>
      </c>
      <c r="D399" t="s">
        <v>1157</v>
      </c>
      <c r="E399" s="2">
        <v>45177</v>
      </c>
      <c r="G399" t="s">
        <v>398</v>
      </c>
      <c r="H399" t="str">
        <f t="shared" si="19"/>
        <v>https://federallibrary.us/DOD/DODI/4165.14/CURRENT/TITLE.html</v>
      </c>
      <c r="I399" t="str">
        <f t="shared" si="20"/>
        <v>&lt;tr&gt; &lt;td&gt; &lt;a href=https://federallibrary.us/DOD/DODI/4165.14/CURRENT/TITLE.html&gt; DODI 4165.14&lt;/a&gt; &lt;/td&gt; &lt;td&gt; Real Property Inventory and Reporting &lt;/td&gt; &lt;/tr&gt;</v>
      </c>
    </row>
    <row r="400" spans="1:9" x14ac:dyDescent="0.25">
      <c r="A400" t="s">
        <v>996</v>
      </c>
      <c r="B400" t="s">
        <v>997</v>
      </c>
      <c r="C400" t="str">
        <f t="shared" si="18"/>
        <v>4165.56</v>
      </c>
      <c r="D400" t="s">
        <v>1157</v>
      </c>
      <c r="E400" s="2">
        <v>44735</v>
      </c>
      <c r="G400" t="s">
        <v>399</v>
      </c>
      <c r="H400" t="str">
        <f t="shared" si="19"/>
        <v>https://federallibrary.us/DOD/DODI/4165.56/CURRENT/TITLE.html</v>
      </c>
      <c r="I400" t="str">
        <f t="shared" si="20"/>
        <v>&lt;tr&gt; &lt;td&gt; &lt;a href=https://federallibrary.us/DOD/DODI/4165.56/CURRENT/TITLE.html&gt; DODI 4165.56&lt;/a&gt; &lt;/td&gt; &lt;td&gt; Relocatable Facilities &lt;/td&gt; &lt;/tr&gt;</v>
      </c>
    </row>
    <row r="401" spans="1:9" x14ac:dyDescent="0.25">
      <c r="A401" t="s">
        <v>996</v>
      </c>
      <c r="B401" t="s">
        <v>998</v>
      </c>
      <c r="C401" t="str">
        <f t="shared" si="18"/>
        <v>4165.57</v>
      </c>
      <c r="D401" t="s">
        <v>1157</v>
      </c>
      <c r="E401" s="2">
        <v>44543</v>
      </c>
      <c r="G401" t="s">
        <v>400</v>
      </c>
      <c r="H401" t="str">
        <f t="shared" si="19"/>
        <v>https://federallibrary.us/DOD/DODI/4165.57/CURRENT/TITLE.html</v>
      </c>
      <c r="I401" t="str">
        <f t="shared" si="20"/>
        <v>&lt;tr&gt; &lt;td&gt; &lt;a href=https://federallibrary.us/DOD/DODI/4165.57/CURRENT/TITLE.html&gt; DODI 4165.57&lt;/a&gt; &lt;/td&gt; &lt;td&gt; Air Installations Compatible Use Zones &lt;/td&gt; &lt;/tr&gt;</v>
      </c>
    </row>
    <row r="402" spans="1:9" x14ac:dyDescent="0.25">
      <c r="A402" t="s">
        <v>996</v>
      </c>
      <c r="B402" t="s">
        <v>986</v>
      </c>
      <c r="C402" t="str">
        <f t="shared" si="18"/>
        <v>4165.63</v>
      </c>
      <c r="D402" t="s">
        <v>1157</v>
      </c>
      <c r="E402" s="2">
        <v>43343</v>
      </c>
      <c r="G402" t="s">
        <v>401</v>
      </c>
      <c r="H402" t="str">
        <f t="shared" si="19"/>
        <v>https://federallibrary.us/DOD/DODI/4165.63/CURRENT/TITLE.html</v>
      </c>
      <c r="I402" t="str">
        <f t="shared" si="20"/>
        <v>&lt;tr&gt; &lt;td&gt; &lt;a href=https://federallibrary.us/DOD/DODI/4165.63/CURRENT/TITLE.html&gt; DODI 4165.63&lt;/a&gt; &lt;/td&gt; &lt;td&gt; DoD Housing &lt;/td&gt; &lt;/tr&gt;</v>
      </c>
    </row>
    <row r="403" spans="1:9" x14ac:dyDescent="0.25">
      <c r="A403" t="s">
        <v>996</v>
      </c>
      <c r="B403" t="s">
        <v>999</v>
      </c>
      <c r="C403" t="str">
        <f t="shared" si="18"/>
        <v>4165.65</v>
      </c>
      <c r="D403" t="s">
        <v>1157</v>
      </c>
      <c r="E403" s="2">
        <v>43343</v>
      </c>
      <c r="G403" t="s">
        <v>402</v>
      </c>
      <c r="H403" t="str">
        <f t="shared" si="19"/>
        <v>https://federallibrary.us/DOD/DODI/4165.65/CURRENT/TITLE.html</v>
      </c>
      <c r="I403" t="str">
        <f t="shared" si="20"/>
        <v>&lt;tr&gt; &lt;td&gt; &lt;a href=https://federallibrary.us/DOD/DODI/4165.65/CURRENT/TITLE.html&gt; DODI 4165.65&lt;/a&gt; &lt;/td&gt; &lt;td&gt; Shelter for the Homeless Program &lt;/td&gt; &lt;/tr&gt;</v>
      </c>
    </row>
    <row r="404" spans="1:9" x14ac:dyDescent="0.25">
      <c r="A404" t="s">
        <v>996</v>
      </c>
      <c r="B404" t="s">
        <v>1000</v>
      </c>
      <c r="C404" t="str">
        <f t="shared" si="18"/>
        <v>4165.68</v>
      </c>
      <c r="D404" t="s">
        <v>1157</v>
      </c>
      <c r="E404" s="2">
        <v>44018</v>
      </c>
      <c r="G404" t="s">
        <v>403</v>
      </c>
      <c r="H404" t="str">
        <f t="shared" si="19"/>
        <v>https://federallibrary.us/DOD/DODI/4165.68/CURRENT/TITLE.html</v>
      </c>
      <c r="I404" t="str">
        <f t="shared" si="20"/>
        <v>&lt;tr&gt; &lt;td&gt; &lt;a href=https://federallibrary.us/DOD/DODI/4165.68/CURRENT/TITLE.html&gt; DODI 4165.68&lt;/a&gt; &lt;/td&gt; &lt;td&gt; Revitalizing Base Closure Communities and Community Assistance - Community Redevelopment and Homeless Assistance &lt;/td&gt; &lt;/tr&gt;</v>
      </c>
    </row>
    <row r="405" spans="1:9" x14ac:dyDescent="0.25">
      <c r="A405" t="s">
        <v>996</v>
      </c>
      <c r="B405" t="s">
        <v>988</v>
      </c>
      <c r="C405" t="str">
        <f t="shared" si="18"/>
        <v>4165.69</v>
      </c>
      <c r="D405" t="s">
        <v>1157</v>
      </c>
      <c r="E405" s="2">
        <v>44550</v>
      </c>
      <c r="G405" t="s">
        <v>404</v>
      </c>
      <c r="H405" t="str">
        <f t="shared" si="19"/>
        <v>https://federallibrary.us/DOD/DODI/4165.69/CURRENT/TITLE.html</v>
      </c>
      <c r="I405" t="str">
        <f t="shared" si="20"/>
        <v>&lt;tr&gt; &lt;td&gt; &lt;a href=https://federallibrary.us/DOD/DODI/4165.69/CURRENT/TITLE.html&gt; DODI 4165.69&lt;/a&gt; &lt;/td&gt; &lt;td&gt; Return of DoD Sites Overseas &lt;/td&gt; &lt;/tr&gt;</v>
      </c>
    </row>
    <row r="406" spans="1:9" x14ac:dyDescent="0.25">
      <c r="A406" t="s">
        <v>996</v>
      </c>
      <c r="B406" t="s">
        <v>980</v>
      </c>
      <c r="C406" t="str">
        <f t="shared" si="18"/>
        <v>4165.70</v>
      </c>
      <c r="D406" t="s">
        <v>1157</v>
      </c>
      <c r="E406" s="2">
        <v>43343</v>
      </c>
      <c r="G406" t="s">
        <v>405</v>
      </c>
      <c r="H406" t="str">
        <f t="shared" si="19"/>
        <v>https://federallibrary.us/DOD/DODI/4165.70/CURRENT/TITLE.html</v>
      </c>
      <c r="I406" t="str">
        <f t="shared" si="20"/>
        <v>&lt;tr&gt; &lt;td&gt; &lt;a href=https://federallibrary.us/DOD/DODI/4165.70/CURRENT/TITLE.html&gt; DODI 4165.70&lt;/a&gt; &lt;/td&gt; &lt;td&gt; Real Property Management &lt;/td&gt; &lt;/tr&gt;</v>
      </c>
    </row>
    <row r="407" spans="1:9" x14ac:dyDescent="0.25">
      <c r="A407" t="s">
        <v>996</v>
      </c>
      <c r="B407" t="s">
        <v>989</v>
      </c>
      <c r="C407" t="str">
        <f t="shared" si="18"/>
        <v>4165.71</v>
      </c>
      <c r="D407" t="s">
        <v>1157</v>
      </c>
      <c r="E407" s="2">
        <v>43343</v>
      </c>
      <c r="G407" t="s">
        <v>406</v>
      </c>
      <c r="H407" t="str">
        <f t="shared" si="19"/>
        <v>https://federallibrary.us/DOD/DODI/4165.71/CURRENT/TITLE.html</v>
      </c>
      <c r="I407" t="str">
        <f t="shared" si="20"/>
        <v>&lt;tr&gt; &lt;td&gt; &lt;a href=https://federallibrary.us/DOD/DODI/4165.71/CURRENT/TITLE.html&gt; DODI 4165.71&lt;/a&gt; &lt;/td&gt; &lt;td&gt; Real Property Acquisition &lt;/td&gt; &lt;/tr&gt;</v>
      </c>
    </row>
    <row r="408" spans="1:9" x14ac:dyDescent="0.25">
      <c r="A408" t="s">
        <v>996</v>
      </c>
      <c r="B408" t="s">
        <v>981</v>
      </c>
      <c r="C408" t="str">
        <f t="shared" si="18"/>
        <v>4165.72</v>
      </c>
      <c r="D408" t="s">
        <v>1157</v>
      </c>
      <c r="E408" s="2">
        <v>43343</v>
      </c>
      <c r="G408" t="s">
        <v>407</v>
      </c>
      <c r="H408" t="str">
        <f t="shared" si="19"/>
        <v>https://federallibrary.us/DOD/DODI/4165.72/CURRENT/TITLE.html</v>
      </c>
      <c r="I408" t="str">
        <f t="shared" si="20"/>
        <v>&lt;tr&gt; &lt;td&gt; &lt;a href=https://federallibrary.us/DOD/DODI/4165.72/CURRENT/TITLE.html&gt; DODI 4165.72&lt;/a&gt; &lt;/td&gt; &lt;td&gt; Real Property Disposal &lt;/td&gt; &lt;/tr&gt;</v>
      </c>
    </row>
    <row r="409" spans="1:9" x14ac:dyDescent="0.25">
      <c r="A409" t="s">
        <v>1001</v>
      </c>
      <c r="B409" t="s">
        <v>847</v>
      </c>
      <c r="C409" t="str">
        <f t="shared" si="18"/>
        <v>4170.11</v>
      </c>
      <c r="D409" t="s">
        <v>1157</v>
      </c>
      <c r="E409" s="2">
        <v>43343</v>
      </c>
      <c r="G409" t="s">
        <v>408</v>
      </c>
      <c r="H409" t="str">
        <f t="shared" si="19"/>
        <v>https://federallibrary.us/DOD/DODI/4170.11/CURRENT/TITLE.html</v>
      </c>
      <c r="I409" t="str">
        <f t="shared" si="20"/>
        <v>&lt;tr&gt; &lt;td&gt; &lt;a href=https://federallibrary.us/DOD/DODI/4170.11/CURRENT/TITLE.html&gt; DODI 4170.11&lt;/a&gt; &lt;/td&gt; &lt;td&gt; Installation Energy Management &lt;/td&gt; &lt;/tr&gt;</v>
      </c>
    </row>
    <row r="410" spans="1:9" x14ac:dyDescent="0.25">
      <c r="A410" t="s">
        <v>1002</v>
      </c>
      <c r="B410" t="s">
        <v>870</v>
      </c>
      <c r="C410" t="str">
        <f t="shared" si="18"/>
        <v>4180.02</v>
      </c>
      <c r="D410" t="s">
        <v>1157</v>
      </c>
      <c r="E410" s="2">
        <v>45092</v>
      </c>
      <c r="G410" t="s">
        <v>409</v>
      </c>
      <c r="H410" t="str">
        <f t="shared" si="19"/>
        <v>https://federallibrary.us/DOD/DODI/4180.02/CURRENT/TITLE.html</v>
      </c>
      <c r="I410" t="str">
        <f t="shared" si="20"/>
        <v>&lt;tr&gt; &lt;td&gt; &lt;a href=https://federallibrary.us/DOD/DODI/4180.02/CURRENT/TITLE.html&gt; DODI 4180.02&lt;/a&gt; &lt;/td&gt; &lt;td&gt; DoD Military Aviation and Installation Assurance Siting Clearinghouse &lt;/td&gt; &lt;/tr&gt;</v>
      </c>
    </row>
    <row r="411" spans="1:9" x14ac:dyDescent="0.25">
      <c r="A411" t="s">
        <v>1003</v>
      </c>
      <c r="B411" t="s">
        <v>845</v>
      </c>
      <c r="C411" t="str">
        <f t="shared" si="18"/>
        <v>4205.01</v>
      </c>
      <c r="D411" t="s">
        <v>1157</v>
      </c>
      <c r="E411" s="2">
        <v>43343</v>
      </c>
      <c r="G411" t="s">
        <v>410</v>
      </c>
      <c r="H411" t="str">
        <f t="shared" si="19"/>
        <v>https://federallibrary.us/DOD/DODI/4205.01/CURRENT/TITLE.html</v>
      </c>
      <c r="I411" t="str">
        <f t="shared" si="20"/>
        <v>&lt;tr&gt; &lt;td&gt; &lt;a href=https://federallibrary.us/DOD/DODI/4205.01/CURRENT/TITLE.html&gt; DODI 4205.01&lt;/a&gt; &lt;/td&gt; &lt;td&gt; DoD Small Business Programs (SBP) &lt;/td&gt; &lt;/tr&gt;</v>
      </c>
    </row>
    <row r="412" spans="1:9" x14ac:dyDescent="0.25">
      <c r="A412" t="s">
        <v>1004</v>
      </c>
      <c r="B412" t="s">
        <v>859</v>
      </c>
      <c r="C412" t="str">
        <f t="shared" si="18"/>
        <v>4245.14</v>
      </c>
      <c r="D412" t="s">
        <v>1157</v>
      </c>
      <c r="E412" s="2">
        <v>43388</v>
      </c>
      <c r="G412" t="s">
        <v>411</v>
      </c>
      <c r="H412" t="str">
        <f t="shared" si="19"/>
        <v>https://federallibrary.us/DOD/DODI/4245.14/CURRENT/TITLE.html</v>
      </c>
      <c r="I412" t="str">
        <f t="shared" si="20"/>
        <v>&lt;tr&gt; &lt;td&gt; &lt;a href=https://federallibrary.us/DOD/DODI/4245.14/CURRENT/TITLE.html&gt; DODI 4245.14&lt;/a&gt; &lt;/td&gt; &lt;td&gt; DoD Value Engineering (VE) Program &lt;/td&gt; &lt;/tr&gt;</v>
      </c>
    </row>
    <row r="413" spans="1:9" x14ac:dyDescent="0.25">
      <c r="A413" t="s">
        <v>1004</v>
      </c>
      <c r="B413" t="s">
        <v>849</v>
      </c>
      <c r="C413" t="str">
        <f t="shared" si="18"/>
        <v>4245.15</v>
      </c>
      <c r="D413" t="s">
        <v>1157</v>
      </c>
      <c r="E413" s="2">
        <v>44140</v>
      </c>
      <c r="G413" t="s">
        <v>412</v>
      </c>
      <c r="H413" t="str">
        <f t="shared" si="19"/>
        <v>https://federallibrary.us/DOD/DODI/4245.15/CURRENT/TITLE.html</v>
      </c>
      <c r="I413" t="str">
        <f t="shared" si="20"/>
        <v>&lt;tr&gt; &lt;td&gt; &lt;a href=https://federallibrary.us/DOD/DODI/4245.15/CURRENT/TITLE.html&gt; DODI 4245.15&lt;/a&gt; &lt;/td&gt; &lt;td&gt; Diminishing Manufacturing Sources and Material Shortages Management &lt;/td&gt; &lt;/tr&gt;</v>
      </c>
    </row>
    <row r="414" spans="1:9" x14ac:dyDescent="0.25">
      <c r="A414" t="s">
        <v>1005</v>
      </c>
      <c r="B414" t="s">
        <v>900</v>
      </c>
      <c r="C414" t="str">
        <f t="shared" si="18"/>
        <v>4500.36</v>
      </c>
      <c r="D414" t="s">
        <v>1157</v>
      </c>
      <c r="E414" s="2">
        <v>44958</v>
      </c>
      <c r="G414" t="s">
        <v>413</v>
      </c>
      <c r="H414" t="str">
        <f t="shared" si="19"/>
        <v>https://federallibrary.us/DOD/DODI/4500.36/CURRENT/TITLE.html</v>
      </c>
      <c r="I414" t="str">
        <f t="shared" si="20"/>
        <v>&lt;tr&gt; &lt;td&gt; &lt;a href=https://federallibrary.us/DOD/DODI/4500.36/CURRENT/TITLE.html&gt; DODI 4500.36&lt;/a&gt; &lt;/td&gt; &lt;td&gt; Acquisition, Management, and Use of Non-Tactical Vehicles &lt;/td&gt; &lt;/tr&gt;</v>
      </c>
    </row>
    <row r="415" spans="1:9" x14ac:dyDescent="0.25">
      <c r="A415" t="s">
        <v>1005</v>
      </c>
      <c r="B415" t="s">
        <v>913</v>
      </c>
      <c r="C415" t="str">
        <f t="shared" si="18"/>
        <v>4500.43</v>
      </c>
      <c r="D415" t="s">
        <v>1157</v>
      </c>
      <c r="E415" s="2">
        <v>44407</v>
      </c>
      <c r="G415" t="s">
        <v>414</v>
      </c>
      <c r="H415" t="str">
        <f t="shared" si="19"/>
        <v>https://federallibrary.us/DOD/DODI/4500.43/CURRENT/TITLE.html</v>
      </c>
      <c r="I415" t="str">
        <f t="shared" si="20"/>
        <v>&lt;tr&gt; &lt;td&gt; &lt;a href=https://federallibrary.us/DOD/DODI/4500.43/CURRENT/TITLE.html&gt; DODI 4500.43&lt;/a&gt; &lt;/td&gt; &lt;td&gt; Operational Support Airlift &lt;/td&gt; &lt;/tr&gt;</v>
      </c>
    </row>
    <row r="416" spans="1:9" x14ac:dyDescent="0.25">
      <c r="A416" t="s">
        <v>1005</v>
      </c>
      <c r="B416" t="s">
        <v>1006</v>
      </c>
      <c r="C416" t="str">
        <f t="shared" si="18"/>
        <v>4500.53</v>
      </c>
      <c r="D416" t="s">
        <v>1157</v>
      </c>
      <c r="E416" s="2">
        <v>44323</v>
      </c>
      <c r="G416" t="s">
        <v>415</v>
      </c>
      <c r="H416" t="str">
        <f t="shared" si="19"/>
        <v>https://federallibrary.us/DOD/DODI/4500.53/CURRENT/TITLE.html</v>
      </c>
      <c r="I416" t="str">
        <f t="shared" si="20"/>
        <v>&lt;tr&gt; &lt;td&gt; &lt;a href=https://federallibrary.us/DOD/DODI/4500.53/CURRENT/TITLE.html&gt; DODI 4500.53&lt;/a&gt; &lt;/td&gt; &lt;td&gt; DoD Commercial Air Transportation Quality and Safety Review Program &lt;/td&gt; &lt;/tr&gt;</v>
      </c>
    </row>
    <row r="417" spans="1:9" x14ac:dyDescent="0.25">
      <c r="A417" t="s">
        <v>1005</v>
      </c>
      <c r="B417" t="s">
        <v>998</v>
      </c>
      <c r="C417" t="str">
        <f t="shared" si="18"/>
        <v>4500.57</v>
      </c>
      <c r="D417" t="s">
        <v>1157</v>
      </c>
      <c r="E417" s="2">
        <v>43731</v>
      </c>
      <c r="G417" t="s">
        <v>2</v>
      </c>
      <c r="H417" t="str">
        <f t="shared" si="19"/>
        <v>https://federallibrary.us/DOD/DODI/4500.57/CURRENT/TITLE.html</v>
      </c>
      <c r="I417" t="str">
        <f t="shared" si="20"/>
        <v>&lt;tr&gt; &lt;td&gt; &lt;a href=https://federallibrary.us/DOD/DODI/4500.57/CURRENT/TITLE.html&gt; DODI 4500.57&lt;/a&gt; &lt;/td&gt; &lt;td&gt; Transportation and Traffic Management &lt;/td&gt; &lt;/tr&gt;</v>
      </c>
    </row>
    <row r="418" spans="1:9" x14ac:dyDescent="0.25">
      <c r="A418" t="s">
        <v>1007</v>
      </c>
      <c r="B418" t="s">
        <v>848</v>
      </c>
      <c r="C418" t="str">
        <f t="shared" si="18"/>
        <v>4515.13</v>
      </c>
      <c r="D418" t="s">
        <v>1157</v>
      </c>
      <c r="E418" s="2">
        <v>45302</v>
      </c>
      <c r="G418" t="s">
        <v>416</v>
      </c>
      <c r="H418" t="str">
        <f t="shared" si="19"/>
        <v>https://federallibrary.us/DOD/DODI/4515.13/CURRENT/TITLE.html</v>
      </c>
      <c r="I418" t="str">
        <f t="shared" si="20"/>
        <v>&lt;tr&gt; &lt;td&gt; &lt;a href=https://federallibrary.us/DOD/DODI/4515.13/CURRENT/TITLE.html&gt; DODI 4515.13&lt;/a&gt; &lt;/td&gt; &lt;td&gt; Air Transportation Eligibility &lt;/td&gt; &lt;/tr&gt;</v>
      </c>
    </row>
    <row r="419" spans="1:9" x14ac:dyDescent="0.25">
      <c r="A419" t="s">
        <v>1007</v>
      </c>
      <c r="B419" t="s">
        <v>859</v>
      </c>
      <c r="C419" t="str">
        <f t="shared" si="18"/>
        <v>4515.14</v>
      </c>
      <c r="D419" t="s">
        <v>1157</v>
      </c>
      <c r="E419" s="2">
        <v>44665</v>
      </c>
      <c r="G419" t="s">
        <v>417</v>
      </c>
      <c r="H419" t="str">
        <f t="shared" si="19"/>
        <v>https://federallibrary.us/DOD/DODI/4515.14/CURRENT/TITLE.html</v>
      </c>
      <c r="I419" t="str">
        <f t="shared" si="20"/>
        <v>&lt;tr&gt; &lt;td&gt; &lt;a href=https://federallibrary.us/DOD/DODI/4515.14/CURRENT/TITLE.html&gt; DODI 4515.14&lt;/a&gt; &lt;/td&gt; &lt;td&gt; Washington Local Commuting Area &lt;/td&gt; &lt;/tr&gt;</v>
      </c>
    </row>
    <row r="420" spans="1:9" x14ac:dyDescent="0.25">
      <c r="A420" t="s">
        <v>1007</v>
      </c>
      <c r="B420" t="s">
        <v>860</v>
      </c>
      <c r="C420" t="str">
        <f t="shared" si="18"/>
        <v>4515.16</v>
      </c>
      <c r="D420" t="s">
        <v>1157</v>
      </c>
      <c r="E420" s="2">
        <v>43949</v>
      </c>
      <c r="G420" t="s">
        <v>418</v>
      </c>
      <c r="H420" t="str">
        <f t="shared" si="19"/>
        <v>https://federallibrary.us/DOD/DODI/4515.16/CURRENT/TITLE.html</v>
      </c>
      <c r="I420" t="str">
        <f t="shared" si="20"/>
        <v>&lt;tr&gt; &lt;td&gt; &lt;a href=https://federallibrary.us/DOD/DODI/4515.16/CURRENT/TITLE.html&gt; DODI 4515.16&lt;/a&gt; &lt;/td&gt; &lt;td&gt; Use of General Services Administration (GSA) Contracts for Air Passenger Transportation Services (GSA Airline City Pair Program) for Attendance At Inactive Duty Training (IDT) Assemblies &lt;/td&gt; &lt;/tr&gt;</v>
      </c>
    </row>
    <row r="421" spans="1:9" x14ac:dyDescent="0.25">
      <c r="A421">
        <v>4515</v>
      </c>
      <c r="B421" t="s">
        <v>850</v>
      </c>
      <c r="C421" t="str">
        <f t="shared" si="18"/>
        <v>4515.17</v>
      </c>
      <c r="D421" t="s">
        <v>1157</v>
      </c>
      <c r="E421" s="2">
        <v>44791</v>
      </c>
      <c r="G421" t="s">
        <v>419</v>
      </c>
      <c r="H421" t="str">
        <f t="shared" si="19"/>
        <v>https://federallibrary.us/DOD/DODI/4515.17/CURRENT/TITLE.html</v>
      </c>
      <c r="I421" t="str">
        <f t="shared" si="20"/>
        <v>&lt;tr&gt; &lt;td&gt; &lt;a href=https://federallibrary.us/DOD/DODI/4515.17/CURRENT/TITLE.html&gt; DODI 4515.17&lt;/a&gt; &lt;/td&gt; &lt;td&gt; (U) Gate Keeper &lt;/td&gt; &lt;/tr&gt;</v>
      </c>
    </row>
    <row r="422" spans="1:9" x14ac:dyDescent="0.25">
      <c r="A422" t="s">
        <v>1007</v>
      </c>
      <c r="B422" t="s">
        <v>893</v>
      </c>
      <c r="C422" t="str">
        <f t="shared" si="18"/>
        <v>4515.19</v>
      </c>
      <c r="D422" t="s">
        <v>1157</v>
      </c>
      <c r="E422" s="2">
        <v>44634</v>
      </c>
      <c r="G422" t="s">
        <v>420</v>
      </c>
      <c r="H422" t="str">
        <f t="shared" si="19"/>
        <v>https://federallibrary.us/DOD/DODI/4515.19/CURRENT/TITLE.html</v>
      </c>
      <c r="I422" t="str">
        <f t="shared" si="20"/>
        <v>&lt;tr&gt; &lt;td&gt; &lt;a href=https://federallibrary.us/DOD/DODI/4515.19/CURRENT/TITLE.html&gt; DODI 4515.19&lt;/a&gt; &lt;/td&gt; &lt;td&gt; DoD Support for Congressional Funerals &lt;/td&gt; &lt;/tr&gt;</v>
      </c>
    </row>
    <row r="423" spans="1:9" x14ac:dyDescent="0.25">
      <c r="A423" t="s">
        <v>1008</v>
      </c>
      <c r="B423" t="s">
        <v>862</v>
      </c>
      <c r="C423" t="str">
        <f t="shared" si="18"/>
        <v>4525.09</v>
      </c>
      <c r="D423" t="s">
        <v>1157</v>
      </c>
      <c r="E423" s="2">
        <v>44705</v>
      </c>
      <c r="G423" t="s">
        <v>421</v>
      </c>
      <c r="H423" t="str">
        <f t="shared" si="19"/>
        <v>https://federallibrary.us/DOD/DODI/4525.09/CURRENT/TITLE.html</v>
      </c>
      <c r="I423" t="str">
        <f t="shared" si="20"/>
        <v>&lt;tr&gt; &lt;td&gt; &lt;a href=https://federallibrary.us/DOD/DODI/4525.09/CURRENT/TITLE.html&gt; DODI 4525.09&lt;/a&gt; &lt;/td&gt; &lt;td&gt; Military Postal Service &lt;/td&gt; &lt;/tr&gt;</v>
      </c>
    </row>
    <row r="424" spans="1:9" x14ac:dyDescent="0.25">
      <c r="A424" t="s">
        <v>1009</v>
      </c>
      <c r="B424" t="s">
        <v>845</v>
      </c>
      <c r="C424" t="str">
        <f t="shared" si="18"/>
        <v>4540.01</v>
      </c>
      <c r="D424" t="s">
        <v>1157</v>
      </c>
      <c r="E424" s="2">
        <v>42877</v>
      </c>
      <c r="G424" t="s">
        <v>422</v>
      </c>
      <c r="H424" t="str">
        <f t="shared" si="19"/>
        <v>https://federallibrary.us/DOD/DODI/4540.01/CURRENT/TITLE.html</v>
      </c>
      <c r="I424" t="str">
        <f t="shared" si="20"/>
        <v>&lt;tr&gt; &lt;td&gt; &lt;a href=https://federallibrary.us/DOD/DODI/4540.01/CURRENT/TITLE.html&gt; DODI 4540.01&lt;/a&gt; &lt;/td&gt; &lt;td&gt; Use of International Airspace by U.S. Military Aircraft and for Missile and Projectile Firings &lt;/td&gt; &lt;/tr&gt;</v>
      </c>
    </row>
    <row r="425" spans="1:9" x14ac:dyDescent="0.25">
      <c r="A425" t="s">
        <v>1009</v>
      </c>
      <c r="B425" t="s">
        <v>868</v>
      </c>
      <c r="C425" t="str">
        <f t="shared" si="18"/>
        <v>4540.05</v>
      </c>
      <c r="D425" t="s">
        <v>1157</v>
      </c>
      <c r="E425" s="2">
        <v>43343</v>
      </c>
      <c r="G425" t="s">
        <v>423</v>
      </c>
      <c r="H425" t="str">
        <f t="shared" si="19"/>
        <v>https://federallibrary.us/DOD/DODI/4540.05/CURRENT/TITLE.html</v>
      </c>
      <c r="I425" t="str">
        <f t="shared" si="20"/>
        <v>&lt;tr&gt; &lt;td&gt; &lt;a href=https://federallibrary.us/DOD/DODI/4540.05/CURRENT/TITLE.html&gt; DODI 4540.05&lt;/a&gt; &lt;/td&gt; &lt;td&gt; DoD Transportation of U.S. Nuclear Weapons &lt;/td&gt; &lt;/tr&gt;</v>
      </c>
    </row>
    <row r="426" spans="1:9" x14ac:dyDescent="0.25">
      <c r="A426" t="s">
        <v>1009</v>
      </c>
      <c r="B426" t="s">
        <v>871</v>
      </c>
      <c r="C426" t="str">
        <f t="shared" si="18"/>
        <v>4540.07</v>
      </c>
      <c r="D426" t="s">
        <v>1157</v>
      </c>
      <c r="E426" s="2">
        <v>43768</v>
      </c>
      <c r="G426" t="s">
        <v>424</v>
      </c>
      <c r="H426" t="str">
        <f t="shared" si="19"/>
        <v>https://federallibrary.us/DOD/DODI/4540.07/CURRENT/TITLE.html</v>
      </c>
      <c r="I426" t="str">
        <f t="shared" si="20"/>
        <v>&lt;tr&gt; &lt;td&gt; &lt;a href=https://federallibrary.us/DOD/DODI/4540.07/CURRENT/TITLE.html&gt; DODI 4540.07&lt;/a&gt; &lt;/td&gt; &lt;td&gt; Operation of the DoD Engineering for Transportability and Deployability Program &lt;/td&gt; &lt;/tr&gt;</v>
      </c>
    </row>
    <row r="427" spans="1:9" x14ac:dyDescent="0.25">
      <c r="A427" t="s">
        <v>1010</v>
      </c>
      <c r="B427" t="s">
        <v>862</v>
      </c>
      <c r="C427" t="str">
        <f t="shared" si="18"/>
        <v>4630.09</v>
      </c>
      <c r="D427" t="s">
        <v>1157</v>
      </c>
      <c r="E427" s="2">
        <v>44158</v>
      </c>
      <c r="G427" t="s">
        <v>425</v>
      </c>
      <c r="H427" t="str">
        <f t="shared" si="19"/>
        <v>https://federallibrary.us/DOD/DODI/4630.09/CURRENT/TITLE.html</v>
      </c>
      <c r="I427" t="str">
        <f t="shared" si="20"/>
        <v>&lt;tr&gt; &lt;td&gt; &lt;a href=https://federallibrary.us/DOD/DODI/4630.09/CURRENT/TITLE.html&gt; DODI 4630.09&lt;/a&gt; &lt;/td&gt; &lt;td&gt; Communications Waveform Management and Standardization &lt;/td&gt; &lt;/tr&gt;</v>
      </c>
    </row>
    <row r="428" spans="1:9" x14ac:dyDescent="0.25">
      <c r="A428" t="s">
        <v>1011</v>
      </c>
      <c r="B428" t="s">
        <v>871</v>
      </c>
      <c r="C428" t="str">
        <f t="shared" si="18"/>
        <v>4640.07</v>
      </c>
      <c r="D428" t="s">
        <v>1157</v>
      </c>
      <c r="E428" s="2">
        <v>43553</v>
      </c>
      <c r="G428" t="s">
        <v>426</v>
      </c>
      <c r="H428" t="str">
        <f t="shared" si="19"/>
        <v>https://federallibrary.us/DOD/DODI/4640.07/CURRENT/TITLE.html</v>
      </c>
      <c r="I428" t="str">
        <f t="shared" si="20"/>
        <v>&lt;tr&gt; &lt;td&gt; &lt;a href=https://federallibrary.us/DOD/DODI/4640.07/CURRENT/TITLE.html&gt; DODI 4640.07&lt;/a&gt; &lt;/td&gt; &lt;td&gt; Telecommunications Services in the National Capital Region (NCR) &lt;/td&gt; &lt;/tr&gt;</v>
      </c>
    </row>
    <row r="429" spans="1:9" x14ac:dyDescent="0.25">
      <c r="A429" t="s">
        <v>1012</v>
      </c>
      <c r="B429" t="s">
        <v>845</v>
      </c>
      <c r="C429" t="str">
        <f t="shared" si="18"/>
        <v>4650.01</v>
      </c>
      <c r="D429" t="s">
        <v>1157</v>
      </c>
      <c r="E429" s="2">
        <v>43025</v>
      </c>
      <c r="G429" t="s">
        <v>427</v>
      </c>
      <c r="H429" t="str">
        <f t="shared" si="19"/>
        <v>https://federallibrary.us/DOD/DODI/4650.01/CURRENT/TITLE.html</v>
      </c>
      <c r="I429" t="str">
        <f t="shared" si="20"/>
        <v>&lt;tr&gt; &lt;td&gt; &lt;a href=https://federallibrary.us/DOD/DODI/4650.01/CURRENT/TITLE.html&gt; DODI 4650.01&lt;/a&gt; &lt;/td&gt; &lt;td&gt; Policy and Procedures for Management and Use of the Electromagnetic Spectrum &lt;/td&gt; &lt;/tr&gt;</v>
      </c>
    </row>
    <row r="430" spans="1:9" x14ac:dyDescent="0.25">
      <c r="A430" t="s">
        <v>1012</v>
      </c>
      <c r="B430" t="s">
        <v>870</v>
      </c>
      <c r="C430" t="str">
        <f t="shared" si="18"/>
        <v>4650.02</v>
      </c>
      <c r="D430" t="s">
        <v>1157</v>
      </c>
      <c r="E430" s="2">
        <v>44550</v>
      </c>
      <c r="G430" t="s">
        <v>428</v>
      </c>
      <c r="H430" t="str">
        <f t="shared" si="19"/>
        <v>https://federallibrary.us/DOD/DODI/4650.02/CURRENT/TITLE.html</v>
      </c>
      <c r="I430" t="str">
        <f t="shared" si="20"/>
        <v>&lt;tr&gt; &lt;td&gt; &lt;a href=https://federallibrary.us/DOD/DODI/4650.02/CURRENT/TITLE.html&gt; DODI 4650.02&lt;/a&gt; &lt;/td&gt; &lt;td&gt; Military Auxiliary Radio System &lt;/td&gt; &lt;/tr&gt;</v>
      </c>
    </row>
    <row r="431" spans="1:9" x14ac:dyDescent="0.25">
      <c r="A431" t="s">
        <v>1012</v>
      </c>
      <c r="B431" t="s">
        <v>858</v>
      </c>
      <c r="C431" t="str">
        <f t="shared" si="18"/>
        <v>4650.06</v>
      </c>
      <c r="D431" t="s">
        <v>1157</v>
      </c>
      <c r="E431" s="2">
        <v>44323</v>
      </c>
      <c r="G431" t="s">
        <v>429</v>
      </c>
      <c r="H431" t="str">
        <f t="shared" si="19"/>
        <v>https://federallibrary.us/DOD/DODI/4650.06/CURRENT/TITLE.html</v>
      </c>
      <c r="I431" t="str">
        <f t="shared" si="20"/>
        <v>&lt;tr&gt; &lt;td&gt; &lt;a href=https://federallibrary.us/DOD/DODI/4650.06/CURRENT/TITLE.html&gt; DODI 4650.06&lt;/a&gt; &lt;/td&gt; &lt;td&gt; Positioning, Navigation, and Timing Management &lt;/td&gt; &lt;/tr&gt;</v>
      </c>
    </row>
    <row r="432" spans="1:9" x14ac:dyDescent="0.25">
      <c r="A432" t="s">
        <v>1012</v>
      </c>
      <c r="B432" t="s">
        <v>865</v>
      </c>
      <c r="C432" t="str">
        <f t="shared" si="18"/>
        <v>4650.08</v>
      </c>
      <c r="D432" t="s">
        <v>1157</v>
      </c>
      <c r="E432" s="2">
        <v>44195</v>
      </c>
      <c r="G432" t="s">
        <v>430</v>
      </c>
      <c r="H432" t="str">
        <f t="shared" si="19"/>
        <v>https://federallibrary.us/DOD/DODI/4650.08/CURRENT/TITLE.html</v>
      </c>
      <c r="I432" t="str">
        <f t="shared" si="20"/>
        <v>&lt;tr&gt; &lt;td&gt; &lt;a href=https://federallibrary.us/DOD/DODI/4650.08/CURRENT/TITLE.html&gt; DODI 4650.08&lt;/a&gt; &lt;/td&gt; &lt;td&gt; Positioning, Navigation, and Timing and Navigation Warfare &lt;/td&gt; &lt;/tr&gt;</v>
      </c>
    </row>
    <row r="433" spans="1:9" x14ac:dyDescent="0.25">
      <c r="A433" t="s">
        <v>1012</v>
      </c>
      <c r="B433" t="s">
        <v>863</v>
      </c>
      <c r="C433" t="str">
        <f t="shared" si="18"/>
        <v>4650.10</v>
      </c>
      <c r="D433" t="s">
        <v>1157</v>
      </c>
      <c r="E433" s="2">
        <v>42473</v>
      </c>
      <c r="G433" t="s">
        <v>431</v>
      </c>
      <c r="H433" t="str">
        <f t="shared" si="19"/>
        <v>https://federallibrary.us/DOD/DODI/4650.10/CURRENT/TITLE.html</v>
      </c>
      <c r="I433" t="str">
        <f t="shared" si="20"/>
        <v>&lt;tr&gt; &lt;td&gt; &lt;a href=https://federallibrary.us/DOD/DODI/4650.10/CURRENT/TITLE.html&gt; DODI 4650.10&lt;/a&gt; &lt;/td&gt; &lt;td&gt; Land Mobile Radio (LMR) Interoperability and Standardization &lt;/td&gt; &lt;/tr&gt;</v>
      </c>
    </row>
    <row r="434" spans="1:9" x14ac:dyDescent="0.25">
      <c r="A434">
        <v>4660</v>
      </c>
      <c r="B434" t="s">
        <v>846</v>
      </c>
      <c r="C434" t="str">
        <f t="shared" si="18"/>
        <v>4660.04</v>
      </c>
      <c r="D434" t="s">
        <v>1157</v>
      </c>
      <c r="E434" s="2">
        <v>40751</v>
      </c>
      <c r="G434" t="s">
        <v>432</v>
      </c>
      <c r="H434" t="str">
        <f t="shared" si="19"/>
        <v>https://federallibrary.us/DOD/DODI/4660.04/CURRENT/TITLE.html</v>
      </c>
      <c r="I434" t="str">
        <f t="shared" si="20"/>
        <v>&lt;tr&gt; &lt;td&gt; &lt;a href=https://federallibrary.us/DOD/DODI/4660.04/CURRENT/TITLE.html&gt; DODI 4660.04&lt;/a&gt; &lt;/td&gt; &lt;td&gt; (U) Encryption of Imagery Transmitted by Airborne Systems and Unmanned Aircraft Control Communications &lt;/td&gt; &lt;/tr&gt;</v>
      </c>
    </row>
    <row r="435" spans="1:9" x14ac:dyDescent="0.25">
      <c r="A435" t="s">
        <v>1013</v>
      </c>
      <c r="B435" t="s">
        <v>870</v>
      </c>
      <c r="C435" t="str">
        <f t="shared" si="18"/>
        <v>4710.02</v>
      </c>
      <c r="D435" t="s">
        <v>1157</v>
      </c>
      <c r="E435" s="2">
        <v>43367</v>
      </c>
      <c r="G435" t="s">
        <v>433</v>
      </c>
      <c r="H435" t="str">
        <f t="shared" si="19"/>
        <v>https://federallibrary.us/DOD/DODI/4710.02/CURRENT/TITLE.html</v>
      </c>
      <c r="I435" t="str">
        <f t="shared" si="20"/>
        <v>&lt;tr&gt; &lt;td&gt; &lt;a href=https://federallibrary.us/DOD/DODI/4710.02/CURRENT/TITLE.html&gt; DODI 4710.02&lt;/a&gt; &lt;/td&gt; &lt;td&gt; DoD Interactions with Federally Recognized Tribes &lt;/td&gt; &lt;/tr&gt;</v>
      </c>
    </row>
    <row r="436" spans="1:9" x14ac:dyDescent="0.25">
      <c r="A436" t="s">
        <v>1013</v>
      </c>
      <c r="B436" t="s">
        <v>867</v>
      </c>
      <c r="C436" t="str">
        <f t="shared" si="18"/>
        <v>4710.03</v>
      </c>
      <c r="D436" t="s">
        <v>1157</v>
      </c>
      <c r="E436" s="2">
        <v>43343</v>
      </c>
      <c r="G436" t="s">
        <v>434</v>
      </c>
      <c r="H436" t="str">
        <f t="shared" si="19"/>
        <v>https://federallibrary.us/DOD/DODI/4710.03/CURRENT/TITLE.html</v>
      </c>
      <c r="I436" t="str">
        <f t="shared" si="20"/>
        <v>&lt;tr&gt; &lt;td&gt; &lt;a href=https://federallibrary.us/DOD/DODI/4710.03/CURRENT/TITLE.html&gt; DODI 4710.03&lt;/a&gt; &lt;/td&gt; &lt;td&gt; Consultation with Native Hawaiian Organizations (NHOs) &lt;/td&gt; &lt;/tr&gt;</v>
      </c>
    </row>
    <row r="437" spans="1:9" x14ac:dyDescent="0.25">
      <c r="A437" t="s">
        <v>1014</v>
      </c>
      <c r="B437" t="s">
        <v>870</v>
      </c>
      <c r="C437" t="str">
        <f t="shared" si="18"/>
        <v>4715.02</v>
      </c>
      <c r="D437" t="s">
        <v>1157</v>
      </c>
      <c r="E437" s="2">
        <v>43343</v>
      </c>
      <c r="G437" t="s">
        <v>435</v>
      </c>
      <c r="H437" t="str">
        <f t="shared" si="19"/>
        <v>https://federallibrary.us/DOD/DODI/4715.02/CURRENT/TITLE.html</v>
      </c>
      <c r="I437" t="str">
        <f t="shared" si="20"/>
        <v>&lt;tr&gt; &lt;td&gt; &lt;a href=https://federallibrary.us/DOD/DODI/4715.02/CURRENT/TITLE.html&gt; DODI 4715.02&lt;/a&gt; &lt;/td&gt; &lt;td&gt; Regional Environmental Coordination &lt;/td&gt; &lt;/tr&gt;</v>
      </c>
    </row>
    <row r="438" spans="1:9" x14ac:dyDescent="0.25">
      <c r="A438" t="s">
        <v>1014</v>
      </c>
      <c r="B438" t="s">
        <v>867</v>
      </c>
      <c r="C438" t="str">
        <f t="shared" si="18"/>
        <v>4715.03</v>
      </c>
      <c r="D438" t="s">
        <v>1157</v>
      </c>
      <c r="E438" s="2">
        <v>43343</v>
      </c>
      <c r="G438" t="s">
        <v>436</v>
      </c>
      <c r="H438" t="str">
        <f t="shared" si="19"/>
        <v>https://federallibrary.us/DOD/DODI/4715.03/CURRENT/TITLE.html</v>
      </c>
      <c r="I438" t="str">
        <f t="shared" si="20"/>
        <v>&lt;tr&gt; &lt;td&gt; &lt;a href=https://federallibrary.us/DOD/DODI/4715.03/CURRENT/TITLE.html&gt; DODI 4715.03&lt;/a&gt; &lt;/td&gt; &lt;td&gt; Natural Resources Conservation Program &lt;/td&gt; &lt;/tr&gt;</v>
      </c>
    </row>
    <row r="439" spans="1:9" x14ac:dyDescent="0.25">
      <c r="A439" t="s">
        <v>1014</v>
      </c>
      <c r="B439" t="s">
        <v>868</v>
      </c>
      <c r="C439" t="str">
        <f t="shared" si="18"/>
        <v>4715.05</v>
      </c>
      <c r="D439" t="s">
        <v>1157</v>
      </c>
      <c r="E439" s="2">
        <v>43343</v>
      </c>
      <c r="G439" t="s">
        <v>437</v>
      </c>
      <c r="H439" t="str">
        <f t="shared" si="19"/>
        <v>https://federallibrary.us/DOD/DODI/4715.05/CURRENT/TITLE.html</v>
      </c>
      <c r="I439" t="str">
        <f t="shared" si="20"/>
        <v>&lt;tr&gt; &lt;td&gt; &lt;a href=https://federallibrary.us/DOD/DODI/4715.05/CURRENT/TITLE.html&gt; DODI 4715.05&lt;/a&gt; &lt;/td&gt; &lt;td&gt; Environmental Compliance at Installations Outside the United States &lt;/td&gt; &lt;/tr&gt;</v>
      </c>
    </row>
    <row r="440" spans="1:9" x14ac:dyDescent="0.25">
      <c r="A440" t="s">
        <v>1014</v>
      </c>
      <c r="B440" t="s">
        <v>858</v>
      </c>
      <c r="C440" t="str">
        <f t="shared" si="18"/>
        <v>4715.06</v>
      </c>
      <c r="D440" t="s">
        <v>1157</v>
      </c>
      <c r="E440" s="2">
        <v>43343</v>
      </c>
      <c r="G440" t="s">
        <v>438</v>
      </c>
      <c r="H440" t="str">
        <f t="shared" si="19"/>
        <v>https://federallibrary.us/DOD/DODI/4715.06/CURRENT/TITLE.html</v>
      </c>
      <c r="I440" t="str">
        <f t="shared" si="20"/>
        <v>&lt;tr&gt; &lt;td&gt; &lt;a href=https://federallibrary.us/DOD/DODI/4715.06/CURRENT/TITLE.html&gt; DODI 4715.06&lt;/a&gt; &lt;/td&gt; &lt;td&gt; Environmental Compliance in the United States &lt;/td&gt; &lt;/tr&gt;</v>
      </c>
    </row>
    <row r="441" spans="1:9" x14ac:dyDescent="0.25">
      <c r="A441" t="s">
        <v>1014</v>
      </c>
      <c r="B441" t="s">
        <v>871</v>
      </c>
      <c r="C441" t="str">
        <f t="shared" si="18"/>
        <v>4715.07</v>
      </c>
      <c r="D441" t="s">
        <v>1157</v>
      </c>
      <c r="E441" s="2">
        <v>43343</v>
      </c>
      <c r="G441" t="s">
        <v>439</v>
      </c>
      <c r="H441" t="str">
        <f t="shared" si="19"/>
        <v>https://federallibrary.us/DOD/DODI/4715.07/CURRENT/TITLE.html</v>
      </c>
      <c r="I441" t="str">
        <f t="shared" si="20"/>
        <v>&lt;tr&gt; &lt;td&gt; &lt;a href=https://federallibrary.us/DOD/DODI/4715.07/CURRENT/TITLE.html&gt; DODI 4715.07&lt;/a&gt; &lt;/td&gt; &lt;td&gt; Defense Environmental Restoration Program (DERP) &lt;/td&gt; &lt;/tr&gt;</v>
      </c>
    </row>
    <row r="442" spans="1:9" x14ac:dyDescent="0.25">
      <c r="A442" t="s">
        <v>1014</v>
      </c>
      <c r="B442" t="s">
        <v>865</v>
      </c>
      <c r="C442" t="str">
        <f t="shared" si="18"/>
        <v>4715.08</v>
      </c>
      <c r="D442" t="s">
        <v>1157</v>
      </c>
      <c r="E442" s="2">
        <v>43343</v>
      </c>
      <c r="G442" t="s">
        <v>440</v>
      </c>
      <c r="H442" t="str">
        <f t="shared" si="19"/>
        <v>https://federallibrary.us/DOD/DODI/4715.08/CURRENT/TITLE.html</v>
      </c>
      <c r="I442" t="str">
        <f t="shared" si="20"/>
        <v>&lt;tr&gt; &lt;td&gt; &lt;a href=https://federallibrary.us/DOD/DODI/4715.08/CURRENT/TITLE.html&gt; DODI 4715.08&lt;/a&gt; &lt;/td&gt; &lt;td&gt; Remediation of Environmental Contamination Outside the United States &lt;/td&gt; &lt;/tr&gt;</v>
      </c>
    </row>
    <row r="443" spans="1:9" x14ac:dyDescent="0.25">
      <c r="A443" t="s">
        <v>1014</v>
      </c>
      <c r="B443" t="s">
        <v>848</v>
      </c>
      <c r="C443" t="str">
        <f t="shared" si="18"/>
        <v>4715.13</v>
      </c>
      <c r="D443" t="s">
        <v>1157</v>
      </c>
      <c r="E443" s="2">
        <v>43858</v>
      </c>
      <c r="G443" t="s">
        <v>441</v>
      </c>
      <c r="H443" t="str">
        <f t="shared" si="19"/>
        <v>https://federallibrary.us/DOD/DODI/4715.13/CURRENT/TITLE.html</v>
      </c>
      <c r="I443" t="str">
        <f t="shared" si="20"/>
        <v>&lt;tr&gt; &lt;td&gt; &lt;a href=https://federallibrary.us/DOD/DODI/4715.13/CURRENT/TITLE.html&gt; DODI 4715.13&lt;/a&gt; &lt;/td&gt; &lt;td&gt; DoD Operational Noise Program &lt;/td&gt; &lt;/tr&gt;</v>
      </c>
    </row>
    <row r="444" spans="1:9" x14ac:dyDescent="0.25">
      <c r="A444" t="s">
        <v>1014</v>
      </c>
      <c r="B444" t="s">
        <v>859</v>
      </c>
      <c r="C444" t="str">
        <f t="shared" si="18"/>
        <v>4715.14</v>
      </c>
      <c r="D444" t="s">
        <v>1157</v>
      </c>
      <c r="E444" s="2">
        <v>43419</v>
      </c>
      <c r="G444" t="s">
        <v>442</v>
      </c>
      <c r="H444" t="str">
        <f t="shared" si="19"/>
        <v>https://federallibrary.us/DOD/DODI/4715.14/CURRENT/TITLE.html</v>
      </c>
      <c r="I444" t="str">
        <f t="shared" si="20"/>
        <v>&lt;tr&gt; &lt;td&gt; &lt;a href=https://federallibrary.us/DOD/DODI/4715.14/CURRENT/TITLE.html&gt; DODI 4715.14&lt;/a&gt; &lt;/td&gt; &lt;td&gt; Operational Range Assessments &lt;/td&gt; &lt;/tr&gt;</v>
      </c>
    </row>
    <row r="445" spans="1:9" x14ac:dyDescent="0.25">
      <c r="A445" t="s">
        <v>1014</v>
      </c>
      <c r="B445" t="s">
        <v>849</v>
      </c>
      <c r="C445" t="str">
        <f t="shared" si="18"/>
        <v>4715.15</v>
      </c>
      <c r="D445" t="s">
        <v>1157</v>
      </c>
      <c r="E445" s="2">
        <v>43654</v>
      </c>
      <c r="G445" t="s">
        <v>443</v>
      </c>
      <c r="H445" t="str">
        <f t="shared" si="19"/>
        <v>https://federallibrary.us/DOD/DODI/4715.15/CURRENT/TITLE.html</v>
      </c>
      <c r="I445" t="str">
        <f t="shared" si="20"/>
        <v>&lt;tr&gt; &lt;td&gt; &lt;a href=https://federallibrary.us/DOD/DODI/4715.15/CURRENT/TITLE.html&gt; DODI 4715.15&lt;/a&gt; &lt;/td&gt; &lt;td&gt; Environmental Quality Systems &lt;/td&gt; &lt;/tr&gt;</v>
      </c>
    </row>
    <row r="446" spans="1:9" x14ac:dyDescent="0.25">
      <c r="A446" t="s">
        <v>1014</v>
      </c>
      <c r="B446" t="s">
        <v>860</v>
      </c>
      <c r="C446" t="str">
        <f t="shared" si="18"/>
        <v>4715.16</v>
      </c>
      <c r="D446" t="s">
        <v>1157</v>
      </c>
      <c r="E446" s="2">
        <v>43343</v>
      </c>
      <c r="G446" t="s">
        <v>444</v>
      </c>
      <c r="H446" t="str">
        <f t="shared" si="19"/>
        <v>https://federallibrary.us/DOD/DODI/4715.16/CURRENT/TITLE.html</v>
      </c>
      <c r="I446" t="str">
        <f t="shared" si="20"/>
        <v>&lt;tr&gt; &lt;td&gt; &lt;a href=https://federallibrary.us/DOD/DODI/4715.16/CURRENT/TITLE.html&gt; DODI 4715.16&lt;/a&gt; &lt;/td&gt; &lt;td&gt; Cultural Resources Management &lt;/td&gt; &lt;/tr&gt;</v>
      </c>
    </row>
    <row r="447" spans="1:9" x14ac:dyDescent="0.25">
      <c r="A447" t="s">
        <v>1014</v>
      </c>
      <c r="B447" t="s">
        <v>850</v>
      </c>
      <c r="C447" t="str">
        <f t="shared" si="18"/>
        <v>4715.17</v>
      </c>
      <c r="D447" t="s">
        <v>1157</v>
      </c>
      <c r="E447" s="2">
        <v>43343</v>
      </c>
      <c r="G447" t="s">
        <v>445</v>
      </c>
      <c r="H447" t="str">
        <f t="shared" si="19"/>
        <v>https://federallibrary.us/DOD/DODI/4715.17/CURRENT/TITLE.html</v>
      </c>
      <c r="I447" t="str">
        <f t="shared" si="20"/>
        <v>&lt;tr&gt; &lt;td&gt; &lt;a href=https://federallibrary.us/DOD/DODI/4715.17/CURRENT/TITLE.html&gt; DODI 4715.17&lt;/a&gt; &lt;/td&gt; &lt;td&gt; Environmental Management Systems &lt;/td&gt; &lt;/tr&gt;</v>
      </c>
    </row>
    <row r="448" spans="1:9" x14ac:dyDescent="0.25">
      <c r="A448" t="s">
        <v>1014</v>
      </c>
      <c r="B448" t="s">
        <v>884</v>
      </c>
      <c r="C448" t="str">
        <f t="shared" si="18"/>
        <v>4715.18</v>
      </c>
      <c r="D448" t="s">
        <v>1157</v>
      </c>
      <c r="E448" s="2">
        <v>45331</v>
      </c>
      <c r="G448" t="s">
        <v>446</v>
      </c>
      <c r="H448" t="str">
        <f t="shared" si="19"/>
        <v>https://federallibrary.us/DOD/DODI/4715.18/CURRENT/TITLE.html</v>
      </c>
      <c r="I448" t="str">
        <f t="shared" si="20"/>
        <v>&lt;tr&gt; &lt;td&gt; &lt;a href=https://federallibrary.us/DOD/DODI/4715.18/CURRENT/TITLE.html&gt; DODI 4715.18&lt;/a&gt; &lt;/td&gt; &lt;td&gt; Emerging Chemicals of Environmental Concern &lt;/td&gt; &lt;/tr&gt;</v>
      </c>
    </row>
    <row r="449" spans="1:9" x14ac:dyDescent="0.25">
      <c r="A449" t="s">
        <v>1014</v>
      </c>
      <c r="B449" t="s">
        <v>893</v>
      </c>
      <c r="C449" t="str">
        <f t="shared" si="18"/>
        <v>4715.19</v>
      </c>
      <c r="D449" t="s">
        <v>1157</v>
      </c>
      <c r="E449" s="2">
        <v>43417</v>
      </c>
      <c r="G449" t="s">
        <v>447</v>
      </c>
      <c r="H449" t="str">
        <f t="shared" si="19"/>
        <v>https://federallibrary.us/DOD/DODI/4715.19/CURRENT/TITLE.html</v>
      </c>
      <c r="I449" t="str">
        <f t="shared" si="20"/>
        <v>&lt;tr&gt; &lt;td&gt; &lt;a href=https://federallibrary.us/DOD/DODI/4715.19/CURRENT/TITLE.html&gt; DODI 4715.19&lt;/a&gt; &lt;/td&gt; &lt;td&gt; Use of Open-Air Burn Pits in Contingency Operations &lt;/td&gt; &lt;/tr&gt;</v>
      </c>
    </row>
    <row r="450" spans="1:9" x14ac:dyDescent="0.25">
      <c r="A450" t="s">
        <v>1014</v>
      </c>
      <c r="B450" t="s">
        <v>876</v>
      </c>
      <c r="C450" t="str">
        <f t="shared" si="18"/>
        <v>4715.22</v>
      </c>
      <c r="D450" t="s">
        <v>1157</v>
      </c>
      <c r="E450" s="2">
        <v>43343</v>
      </c>
      <c r="G450" t="s">
        <v>448</v>
      </c>
      <c r="H450" t="str">
        <f t="shared" si="19"/>
        <v>https://federallibrary.us/DOD/DODI/4715.22/CURRENT/TITLE.html</v>
      </c>
      <c r="I450" t="str">
        <f t="shared" si="20"/>
        <v>&lt;tr&gt; &lt;td&gt; &lt;a href=https://federallibrary.us/DOD/DODI/4715.22/CURRENT/TITLE.html&gt; DODI 4715.22&lt;/a&gt; &lt;/td&gt; &lt;td&gt; Environmental Management Policy for Contingency Locations &lt;/td&gt; &lt;/tr&gt;</v>
      </c>
    </row>
    <row r="451" spans="1:9" x14ac:dyDescent="0.25">
      <c r="A451" t="s">
        <v>1014</v>
      </c>
      <c r="B451" t="s">
        <v>877</v>
      </c>
      <c r="C451" t="str">
        <f t="shared" ref="C451:C514" si="21">_xlfn.CONCAT(A451,".",B451)</f>
        <v>4715.23</v>
      </c>
      <c r="D451" t="s">
        <v>1157</v>
      </c>
      <c r="E451" s="2">
        <v>43343</v>
      </c>
      <c r="G451" t="s">
        <v>449</v>
      </c>
      <c r="H451" t="str">
        <f t="shared" ref="H451:H514" si="22">IF(D451="CURRENT",_xlfn.CONCAT("https://federallibrary.us/DOD/DODI/",C451,"/CURRENT/TITLE.html"),"")</f>
        <v>https://federallibrary.us/DOD/DODI/4715.23/CURRENT/TITLE.html</v>
      </c>
      <c r="I451" t="str">
        <f t="shared" ref="I451:I514" si="23">IF(D451="CURRENT",_xlfn.CONCAT("&lt;tr&gt; &lt;td&gt; &lt;a href=",H451,"&gt; DODI ",C451, "&lt;/a&gt; &lt;/td&gt; &lt;td&gt; ", G451, " &lt;/td&gt; &lt;/tr&gt;"),"")</f>
        <v>&lt;tr&gt; &lt;td&gt; &lt;a href=https://federallibrary.us/DOD/DODI/4715.23/CURRENT/TITLE.html&gt; DODI 4715.23&lt;/a&gt; &lt;/td&gt; &lt;td&gt; Integrated Recycling and Solid Waste Management &lt;/td&gt; &lt;/tr&gt;</v>
      </c>
    </row>
    <row r="452" spans="1:9" x14ac:dyDescent="0.25">
      <c r="A452" t="s">
        <v>1014</v>
      </c>
      <c r="B452" t="s">
        <v>878</v>
      </c>
      <c r="C452" t="str">
        <f t="shared" si="21"/>
        <v>4715.24</v>
      </c>
      <c r="D452" t="s">
        <v>1157</v>
      </c>
      <c r="E452" s="2">
        <v>43551</v>
      </c>
      <c r="G452" t="s">
        <v>450</v>
      </c>
      <c r="H452" t="str">
        <f t="shared" si="22"/>
        <v>https://federallibrary.us/DOD/DODI/4715.24/CURRENT/TITLE.html</v>
      </c>
      <c r="I452" t="str">
        <f t="shared" si="23"/>
        <v>&lt;tr&gt; &lt;td&gt; &lt;a href=https://federallibrary.us/DOD/DODI/4715.24/CURRENT/TITLE.html&gt; DODI 4715.24&lt;/a&gt; &lt;/td&gt; &lt;td&gt; The Readiness and Environmental Protection Integration (REPI) Program and Encroachment Management &lt;/td&gt; &lt;/tr&gt;</v>
      </c>
    </row>
    <row r="453" spans="1:9" x14ac:dyDescent="0.25">
      <c r="A453" t="s">
        <v>1014</v>
      </c>
      <c r="B453" t="s">
        <v>852</v>
      </c>
      <c r="C453" t="str">
        <f t="shared" si="21"/>
        <v>4715.27</v>
      </c>
      <c r="D453" t="s">
        <v>1157</v>
      </c>
      <c r="E453" s="2">
        <v>43567</v>
      </c>
      <c r="G453" t="s">
        <v>451</v>
      </c>
      <c r="H453" t="str">
        <f t="shared" si="22"/>
        <v>https://federallibrary.us/DOD/DODI/4715.27/CURRENT/TITLE.html</v>
      </c>
      <c r="I453" t="str">
        <f t="shared" si="23"/>
        <v>&lt;tr&gt; &lt;td&gt; &lt;a href=https://federallibrary.us/DOD/DODI/4715.27/CURRENT/TITLE.html&gt; DODI 4715.27&lt;/a&gt; &lt;/td&gt; &lt;td&gt; DoD Low-Level Radioactive Waste (LLRW) Program &lt;/td&gt; &lt;/tr&gt;</v>
      </c>
    </row>
    <row r="454" spans="1:9" x14ac:dyDescent="0.25">
      <c r="A454" t="s">
        <v>1015</v>
      </c>
      <c r="B454" t="s">
        <v>870</v>
      </c>
      <c r="C454" t="str">
        <f t="shared" si="21"/>
        <v>5000.02</v>
      </c>
      <c r="D454" t="s">
        <v>1157</v>
      </c>
      <c r="E454" s="2">
        <v>44720</v>
      </c>
      <c r="G454" t="s">
        <v>452</v>
      </c>
      <c r="H454" t="str">
        <f t="shared" si="22"/>
        <v>https://federallibrary.us/DOD/DODI/5000.02/CURRENT/TITLE.html</v>
      </c>
      <c r="I454" t="str">
        <f t="shared" si="23"/>
        <v>&lt;tr&gt; &lt;td&gt; &lt;a href=https://federallibrary.us/DOD/DODI/5000.02/CURRENT/TITLE.html&gt; DODI 5000.02&lt;/a&gt; &lt;/td&gt; &lt;td&gt; Operation of the Adaptive Acquisition Framework &lt;/td&gt; &lt;/tr&gt;</v>
      </c>
    </row>
    <row r="455" spans="1:9" x14ac:dyDescent="0.25">
      <c r="A455" t="s">
        <v>1015</v>
      </c>
      <c r="B455" t="s">
        <v>878</v>
      </c>
      <c r="C455" t="str">
        <f t="shared" si="21"/>
        <v>5000.24</v>
      </c>
      <c r="D455" t="s">
        <v>1157</v>
      </c>
      <c r="E455" s="2">
        <v>44742</v>
      </c>
      <c r="G455" t="s">
        <v>453</v>
      </c>
      <c r="H455" t="str">
        <f t="shared" si="22"/>
        <v>https://federallibrary.us/DOD/DODI/5000.24/CURRENT/TITLE.html</v>
      </c>
      <c r="I455" t="str">
        <f t="shared" si="23"/>
        <v>&lt;tr&gt; &lt;td&gt; &lt;a href=https://federallibrary.us/DOD/DODI/5000.24/CURRENT/TITLE.html&gt; DODI 5000.24&lt;/a&gt; &lt;/td&gt; &lt;td&gt; Pentagon Executive Dining Facilities &lt;/td&gt; &lt;/tr&gt;</v>
      </c>
    </row>
    <row r="456" spans="1:9" x14ac:dyDescent="0.25">
      <c r="A456" t="s">
        <v>1015</v>
      </c>
      <c r="B456" t="s">
        <v>899</v>
      </c>
      <c r="C456" t="str">
        <f t="shared" si="21"/>
        <v>5000.35</v>
      </c>
      <c r="D456" t="s">
        <v>1157</v>
      </c>
      <c r="E456" s="2">
        <v>43343</v>
      </c>
      <c r="G456" t="s">
        <v>454</v>
      </c>
      <c r="H456" t="str">
        <f t="shared" si="22"/>
        <v>https://federallibrary.us/DOD/DODI/5000.35/CURRENT/TITLE.html</v>
      </c>
      <c r="I456" t="str">
        <f t="shared" si="23"/>
        <v>&lt;tr&gt; &lt;td&gt; &lt;a href=https://federallibrary.us/DOD/DODI/5000.35/CURRENT/TITLE.html&gt; DODI 5000.35&lt;/a&gt; &lt;/td&gt; &lt;td&gt; Defense Acquisition Regulations (DAR) System &lt;/td&gt; &lt;/tr&gt;</v>
      </c>
    </row>
    <row r="457" spans="1:9" x14ac:dyDescent="0.25">
      <c r="A457" t="s">
        <v>1015</v>
      </c>
      <c r="B457" t="s">
        <v>997</v>
      </c>
      <c r="C457" t="str">
        <f t="shared" si="21"/>
        <v>5000.56</v>
      </c>
      <c r="D457" t="s">
        <v>1157</v>
      </c>
      <c r="E457" s="2">
        <v>44069</v>
      </c>
      <c r="G457" t="s">
        <v>455</v>
      </c>
      <c r="H457" t="str">
        <f t="shared" si="22"/>
        <v>https://federallibrary.us/DOD/DODI/5000.56/CURRENT/TITLE.html</v>
      </c>
      <c r="I457" t="str">
        <f t="shared" si="23"/>
        <v>&lt;tr&gt; &lt;td&gt; &lt;a href=https://federallibrary.us/DOD/DODI/5000.56/CURRENT/TITLE.html&gt; DODI 5000.56&lt;/a&gt; &lt;/td&gt; &lt;td&gt; Programming Geospatial-Intelligence (GEOINT), Geospatial Information and Services (GI&amp;S), and Geodesy Requirements for Developing Systems &lt;/td&gt; &lt;/tr&gt;</v>
      </c>
    </row>
    <row r="458" spans="1:9" x14ac:dyDescent="0.25">
      <c r="A458" t="s">
        <v>1015</v>
      </c>
      <c r="B458" t="s">
        <v>998</v>
      </c>
      <c r="C458" t="str">
        <f t="shared" si="21"/>
        <v>5000.57</v>
      </c>
      <c r="D458" t="s">
        <v>1157</v>
      </c>
      <c r="E458" s="2">
        <v>45302</v>
      </c>
      <c r="G458" t="s">
        <v>456</v>
      </c>
      <c r="H458" t="str">
        <f t="shared" si="22"/>
        <v>https://federallibrary.us/DOD/DODI/5000.57/CURRENT/TITLE.html</v>
      </c>
      <c r="I458" t="str">
        <f t="shared" si="23"/>
        <v>&lt;tr&gt; &lt;td&gt; &lt;a href=https://federallibrary.us/DOD/DODI/5000.57/CURRENT/TITLE.html&gt; DODI 5000.57&lt;/a&gt; &lt;/td&gt; &lt;td&gt; Defense Acquisition University  &lt;/td&gt; &lt;/tr&gt;</v>
      </c>
    </row>
    <row r="459" spans="1:9" x14ac:dyDescent="0.25">
      <c r="A459" t="s">
        <v>1015</v>
      </c>
      <c r="B459" t="s">
        <v>1016</v>
      </c>
      <c r="C459" t="str">
        <f t="shared" si="21"/>
        <v>5000.60</v>
      </c>
      <c r="D459" t="s">
        <v>1157</v>
      </c>
      <c r="E459" s="2">
        <v>44778</v>
      </c>
      <c r="G459" t="s">
        <v>457</v>
      </c>
      <c r="H459" t="str">
        <f t="shared" si="22"/>
        <v>https://federallibrary.us/DOD/DODI/5000.60/CURRENT/TITLE.html</v>
      </c>
      <c r="I459" t="str">
        <f t="shared" si="23"/>
        <v>&lt;tr&gt; &lt;td&gt; &lt;a href=https://federallibrary.us/DOD/DODI/5000.60/CURRENT/TITLE.html&gt; DODI 5000.60&lt;/a&gt; &lt;/td&gt; &lt;td&gt; Defense Industrial Base Assessments &lt;/td&gt; &lt;/tr&gt;</v>
      </c>
    </row>
    <row r="460" spans="1:9" x14ac:dyDescent="0.25">
      <c r="A460" t="s">
        <v>1015</v>
      </c>
      <c r="B460" t="s">
        <v>1017</v>
      </c>
      <c r="C460" t="str">
        <f t="shared" si="21"/>
        <v>5000.61</v>
      </c>
      <c r="D460" t="s">
        <v>1157</v>
      </c>
      <c r="E460" s="2">
        <v>43388</v>
      </c>
      <c r="G460" t="s">
        <v>458</v>
      </c>
      <c r="H460" t="str">
        <f t="shared" si="22"/>
        <v>https://federallibrary.us/DOD/DODI/5000.61/CURRENT/TITLE.html</v>
      </c>
      <c r="I460" t="str">
        <f t="shared" si="23"/>
        <v>&lt;tr&gt; &lt;td&gt; &lt;a href=https://federallibrary.us/DOD/DODI/5000.61/CURRENT/TITLE.html&gt; DODI 5000.61&lt;/a&gt; &lt;/td&gt; &lt;td&gt; DoD Modeling and Simulation (M&amp;S) Verification, Validation, and Accreditation (VV&amp;A) &lt;/td&gt; &lt;/tr&gt;</v>
      </c>
    </row>
    <row r="461" spans="1:9" x14ac:dyDescent="0.25">
      <c r="A461" t="s">
        <v>1015</v>
      </c>
      <c r="B461" t="s">
        <v>1018</v>
      </c>
      <c r="C461" t="str">
        <f t="shared" si="21"/>
        <v>5000.64</v>
      </c>
      <c r="D461" t="s">
        <v>1157</v>
      </c>
      <c r="E461" s="2">
        <v>43626</v>
      </c>
      <c r="G461" t="s">
        <v>459</v>
      </c>
      <c r="H461" t="str">
        <f t="shared" si="22"/>
        <v>https://federallibrary.us/DOD/DODI/5000.64/CURRENT/TITLE.html</v>
      </c>
      <c r="I461" t="str">
        <f t="shared" si="23"/>
        <v>&lt;tr&gt; &lt;td&gt; &lt;a href=https://federallibrary.us/DOD/DODI/5000.64/CURRENT/TITLE.html&gt; DODI 5000.64&lt;/a&gt; &lt;/td&gt; &lt;td&gt; Accountability and Management of DoD Equipment and Other Accountable Property &lt;/td&gt; &lt;/tr&gt;</v>
      </c>
    </row>
    <row r="462" spans="1:9" x14ac:dyDescent="0.25">
      <c r="A462" t="s">
        <v>1015</v>
      </c>
      <c r="B462" t="s">
        <v>987</v>
      </c>
      <c r="C462" t="str">
        <f t="shared" si="21"/>
        <v>5000.66</v>
      </c>
      <c r="D462" t="s">
        <v>1157</v>
      </c>
      <c r="E462" s="2">
        <v>44645</v>
      </c>
      <c r="G462" t="s">
        <v>460</v>
      </c>
      <c r="H462" t="str">
        <f t="shared" si="22"/>
        <v>https://federallibrary.us/DOD/DODI/5000.66/CURRENT/TITLE.html</v>
      </c>
      <c r="I462" t="str">
        <f t="shared" si="23"/>
        <v>&lt;tr&gt; &lt;td&gt; &lt;a href=https://federallibrary.us/DOD/DODI/5000.66/CURRENT/TITLE.html&gt; DODI 5000.66&lt;/a&gt; &lt;/td&gt; &lt;td&gt; Defense Acquisition Workforce Education, Training, Experience, and Career Development Program &lt;/td&gt; &lt;/tr&gt;</v>
      </c>
    </row>
    <row r="463" spans="1:9" x14ac:dyDescent="0.25">
      <c r="A463" t="s">
        <v>1015</v>
      </c>
      <c r="B463" t="s">
        <v>979</v>
      </c>
      <c r="C463" t="str">
        <f t="shared" si="21"/>
        <v>5000.67</v>
      </c>
      <c r="D463" t="s">
        <v>1157</v>
      </c>
      <c r="E463" s="2">
        <v>43343</v>
      </c>
      <c r="G463" t="s">
        <v>461</v>
      </c>
      <c r="H463" t="str">
        <f t="shared" si="22"/>
        <v>https://federallibrary.us/DOD/DODI/5000.67/CURRENT/TITLE.html</v>
      </c>
      <c r="I463" t="str">
        <f t="shared" si="23"/>
        <v>&lt;tr&gt; &lt;td&gt; &lt;a href=https://federallibrary.us/DOD/DODI/5000.67/CURRENT/TITLE.html&gt; DODI 5000.67&lt;/a&gt; &lt;/td&gt; &lt;td&gt; Prevention and Mitigation of Corrosion on DoD Military Equipment and Infrastructure &lt;/td&gt; &lt;/tr&gt;</v>
      </c>
    </row>
    <row r="464" spans="1:9" x14ac:dyDescent="0.25">
      <c r="A464" t="s">
        <v>1015</v>
      </c>
      <c r="B464" t="s">
        <v>1000</v>
      </c>
      <c r="C464" t="str">
        <f t="shared" si="21"/>
        <v>5000.68</v>
      </c>
      <c r="D464" t="s">
        <v>1157</v>
      </c>
      <c r="E464" s="2">
        <v>40478</v>
      </c>
      <c r="G464" t="s">
        <v>462</v>
      </c>
      <c r="H464" t="str">
        <f t="shared" si="22"/>
        <v>https://federallibrary.us/DOD/DODI/5000.68/CURRENT/TITLE.html</v>
      </c>
      <c r="I464" t="str">
        <f t="shared" si="23"/>
        <v>&lt;tr&gt; &lt;td&gt; &lt;a href=https://federallibrary.us/DOD/DODI/5000.68/CURRENT/TITLE.html&gt; DODI 5000.68&lt;/a&gt; &lt;/td&gt; &lt;td&gt; Security Force Assistance (SFA) &lt;/td&gt; &lt;/tr&gt;</v>
      </c>
    </row>
    <row r="465" spans="1:9" x14ac:dyDescent="0.25">
      <c r="A465" t="s">
        <v>1015</v>
      </c>
      <c r="B465" t="s">
        <v>988</v>
      </c>
      <c r="C465" t="str">
        <f t="shared" si="21"/>
        <v>5000.69</v>
      </c>
      <c r="D465" t="s">
        <v>1157</v>
      </c>
      <c r="E465" s="2">
        <v>45148</v>
      </c>
      <c r="G465" t="s">
        <v>463</v>
      </c>
      <c r="H465" t="str">
        <f t="shared" si="22"/>
        <v>https://federallibrary.us/DOD/DODI/5000.69/CURRENT/TITLE.html</v>
      </c>
      <c r="I465" t="str">
        <f t="shared" si="23"/>
        <v>&lt;tr&gt; &lt;td&gt; &lt;a href=https://federallibrary.us/DOD/DODI/5000.69/CURRENT/TITLE.html&gt; DODI 5000.69&lt;/a&gt; &lt;/td&gt; &lt;td&gt; Joint Services Weapon and Laser System Safety Review Processes &lt;/td&gt; &lt;/tr&gt;</v>
      </c>
    </row>
    <row r="466" spans="1:9" x14ac:dyDescent="0.25">
      <c r="A466" t="s">
        <v>1015</v>
      </c>
      <c r="B466" t="s">
        <v>980</v>
      </c>
      <c r="C466" t="str">
        <f t="shared" si="21"/>
        <v>5000.70</v>
      </c>
      <c r="D466" t="s">
        <v>1157</v>
      </c>
      <c r="E466" s="2">
        <v>43388</v>
      </c>
      <c r="G466" t="s">
        <v>464</v>
      </c>
      <c r="H466" t="str">
        <f t="shared" si="22"/>
        <v>https://federallibrary.us/DOD/DODI/5000.70/CURRENT/TITLE.html</v>
      </c>
      <c r="I466" t="str">
        <f t="shared" si="23"/>
        <v>&lt;tr&gt; &lt;td&gt; &lt;a href=https://federallibrary.us/DOD/DODI/5000.70/CURRENT/TITLE.html&gt; DODI 5000.70&lt;/a&gt; &lt;/td&gt; &lt;td&gt; Management of DoD Modeling and Simulation (M&amp;S) Activities &lt;/td&gt; &lt;/tr&gt;</v>
      </c>
    </row>
    <row r="467" spans="1:9" x14ac:dyDescent="0.25">
      <c r="A467" t="s">
        <v>1015</v>
      </c>
      <c r="B467" t="s">
        <v>981</v>
      </c>
      <c r="C467" t="str">
        <f t="shared" si="21"/>
        <v>5000.72</v>
      </c>
      <c r="D467" t="s">
        <v>1157</v>
      </c>
      <c r="E467" s="2">
        <v>44141</v>
      </c>
      <c r="G467" t="s">
        <v>465</v>
      </c>
      <c r="H467" t="str">
        <f t="shared" si="22"/>
        <v>https://federallibrary.us/DOD/DODI/5000.72/CURRENT/TITLE.html</v>
      </c>
      <c r="I467" t="str">
        <f t="shared" si="23"/>
        <v>&lt;tr&gt; &lt;td&gt; &lt;a href=https://federallibrary.us/DOD/DODI/5000.72/CURRENT/TITLE.html&gt; DODI 5000.72&lt;/a&gt; &lt;/td&gt; &lt;td&gt; DoD Standard for Contracting Officer's Representative (COR) Certification &lt;/td&gt; &lt;/tr&gt;</v>
      </c>
    </row>
    <row r="468" spans="1:9" x14ac:dyDescent="0.25">
      <c r="A468" t="s">
        <v>1015</v>
      </c>
      <c r="B468" t="s">
        <v>990</v>
      </c>
      <c r="C468" t="str">
        <f t="shared" si="21"/>
        <v>5000.73</v>
      </c>
      <c r="D468" t="s">
        <v>1157</v>
      </c>
      <c r="E468" s="2">
        <v>43903</v>
      </c>
      <c r="G468" t="s">
        <v>466</v>
      </c>
      <c r="H468" t="str">
        <f t="shared" si="22"/>
        <v>https://federallibrary.us/DOD/DODI/5000.73/CURRENT/TITLE.html</v>
      </c>
      <c r="I468" t="str">
        <f t="shared" si="23"/>
        <v>&lt;tr&gt; &lt;td&gt; &lt;a href=https://federallibrary.us/DOD/DODI/5000.73/CURRENT/TITLE.html&gt; DODI 5000.73&lt;/a&gt; &lt;/td&gt; &lt;td&gt; Cost Analysis Guidance and Procedures &lt;/td&gt; &lt;/tr&gt;</v>
      </c>
    </row>
    <row r="469" spans="1:9" x14ac:dyDescent="0.25">
      <c r="A469" t="s">
        <v>1015</v>
      </c>
      <c r="B469" t="s">
        <v>1019</v>
      </c>
      <c r="C469" t="str">
        <f t="shared" si="21"/>
        <v>5000.74</v>
      </c>
      <c r="D469" t="s">
        <v>1157</v>
      </c>
      <c r="E469" s="2">
        <v>44371</v>
      </c>
      <c r="G469" t="s">
        <v>467</v>
      </c>
      <c r="H469" t="str">
        <f t="shared" si="22"/>
        <v>https://federallibrary.us/DOD/DODI/5000.74/CURRENT/TITLE.html</v>
      </c>
      <c r="I469" t="str">
        <f t="shared" si="23"/>
        <v>&lt;tr&gt; &lt;td&gt; &lt;a href=https://federallibrary.us/DOD/DODI/5000.74/CURRENT/TITLE.html&gt; DODI 5000.74&lt;/a&gt; &lt;/td&gt; &lt;td&gt; Defense Acquisition of Services &lt;/td&gt; &lt;/tr&gt;</v>
      </c>
    </row>
    <row r="470" spans="1:9" x14ac:dyDescent="0.25">
      <c r="A470" t="s">
        <v>1015</v>
      </c>
      <c r="B470" t="s">
        <v>1020</v>
      </c>
      <c r="C470" t="str">
        <f t="shared" si="21"/>
        <v>5000.75</v>
      </c>
      <c r="D470" t="s">
        <v>1157</v>
      </c>
      <c r="E470" s="2">
        <v>43854</v>
      </c>
      <c r="G470" t="s">
        <v>468</v>
      </c>
      <c r="H470" t="str">
        <f t="shared" si="22"/>
        <v>https://federallibrary.us/DOD/DODI/5000.75/CURRENT/TITLE.html</v>
      </c>
      <c r="I470" t="str">
        <f t="shared" si="23"/>
        <v>&lt;tr&gt; &lt;td&gt; &lt;a href=https://federallibrary.us/DOD/DODI/5000.75/CURRENT/TITLE.html&gt; DODI 5000.75&lt;/a&gt; &lt;/td&gt; &lt;td&gt; Business Systems Requirements and Acquisition &lt;/td&gt; &lt;/tr&gt;</v>
      </c>
    </row>
    <row r="471" spans="1:9" x14ac:dyDescent="0.25">
      <c r="A471" t="s">
        <v>1015</v>
      </c>
      <c r="B471" t="s">
        <v>1021</v>
      </c>
      <c r="C471" t="str">
        <f t="shared" si="21"/>
        <v>5000.76</v>
      </c>
      <c r="D471" t="s">
        <v>1157</v>
      </c>
      <c r="E471" s="2">
        <v>43623</v>
      </c>
      <c r="G471" t="s">
        <v>469</v>
      </c>
      <c r="H471" t="str">
        <f t="shared" si="22"/>
        <v>https://federallibrary.us/DOD/DODI/5000.76/CURRENT/TITLE.html</v>
      </c>
      <c r="I471" t="str">
        <f t="shared" si="23"/>
        <v>&lt;tr&gt; &lt;td&gt; &lt;a href=https://federallibrary.us/DOD/DODI/5000.76/CURRENT/TITLE.html&gt; DODI 5000.76&lt;/a&gt; &lt;/td&gt; &lt;td&gt; Accountability and Management of Internal Use Software (IUS) &lt;/td&gt; &lt;/tr&gt;</v>
      </c>
    </row>
    <row r="472" spans="1:9" x14ac:dyDescent="0.25">
      <c r="A472" t="s">
        <v>1015</v>
      </c>
      <c r="B472" t="s">
        <v>1022</v>
      </c>
      <c r="C472" t="str">
        <f t="shared" si="21"/>
        <v>5000.77</v>
      </c>
      <c r="D472" t="s">
        <v>1157</v>
      </c>
      <c r="E472" s="2">
        <v>43812</v>
      </c>
      <c r="G472" t="s">
        <v>470</v>
      </c>
      <c r="H472" t="str">
        <f t="shared" si="22"/>
        <v>https://federallibrary.us/DOD/DODI/5000.77/CURRENT/TITLE.html</v>
      </c>
      <c r="I472" t="str">
        <f t="shared" si="23"/>
        <v>&lt;tr&gt; &lt;td&gt; &lt;a href=https://federallibrary.us/DOD/DODI/5000.77/CURRENT/TITLE.html&gt; DODI 5000.77&lt;/a&gt; &lt;/td&gt; &lt;td&gt; DoD Federally Funded Research and Development Center (FFRDC) Program &lt;/td&gt; &lt;/tr&gt;</v>
      </c>
    </row>
    <row r="473" spans="1:9" x14ac:dyDescent="0.25">
      <c r="A473" t="s">
        <v>1015</v>
      </c>
      <c r="B473" t="s">
        <v>1023</v>
      </c>
      <c r="C473" t="str">
        <f t="shared" si="21"/>
        <v>5000.79</v>
      </c>
      <c r="D473" t="s">
        <v>1157</v>
      </c>
      <c r="E473" s="2">
        <v>43753</v>
      </c>
      <c r="G473" t="s">
        <v>471</v>
      </c>
      <c r="H473" t="str">
        <f t="shared" si="22"/>
        <v>https://federallibrary.us/DOD/DODI/5000.79/CURRENT/TITLE.html</v>
      </c>
      <c r="I473" t="str">
        <f t="shared" si="23"/>
        <v>&lt;tr&gt; &lt;td&gt; &lt;a href=https://federallibrary.us/DOD/DODI/5000.79/CURRENT/TITLE.html&gt; DODI 5000.79&lt;/a&gt; &lt;/td&gt; &lt;td&gt; Defense-Wide Sharing and Use of Supplier and Product Performance Information (PI) &lt;/td&gt; &lt;/tr&gt;</v>
      </c>
    </row>
    <row r="474" spans="1:9" x14ac:dyDescent="0.25">
      <c r="A474" t="s">
        <v>1015</v>
      </c>
      <c r="B474" t="s">
        <v>1024</v>
      </c>
      <c r="C474" t="str">
        <f t="shared" si="21"/>
        <v>5000.80</v>
      </c>
      <c r="D474" t="s">
        <v>1157</v>
      </c>
      <c r="E474" s="2">
        <v>43829</v>
      </c>
      <c r="G474" t="s">
        <v>472</v>
      </c>
      <c r="H474" t="str">
        <f t="shared" si="22"/>
        <v>https://federallibrary.us/DOD/DODI/5000.80/CURRENT/TITLE.html</v>
      </c>
      <c r="I474" t="str">
        <f t="shared" si="23"/>
        <v>&lt;tr&gt; &lt;td&gt; &lt;a href=https://federallibrary.us/DOD/DODI/5000.80/CURRENT/TITLE.html&gt; DODI 5000.80&lt;/a&gt; &lt;/td&gt; &lt;td&gt; Operation of the Middle Tier of Acquisition (MTA) &lt;/td&gt; &lt;/tr&gt;</v>
      </c>
    </row>
    <row r="475" spans="1:9" x14ac:dyDescent="0.25">
      <c r="A475" t="s">
        <v>1015</v>
      </c>
      <c r="B475" t="s">
        <v>1025</v>
      </c>
      <c r="C475" t="str">
        <f t="shared" si="21"/>
        <v>5000.81</v>
      </c>
      <c r="D475" t="s">
        <v>1157</v>
      </c>
      <c r="E475" s="2">
        <v>43830</v>
      </c>
      <c r="G475" t="s">
        <v>473</v>
      </c>
      <c r="H475" t="str">
        <f t="shared" si="22"/>
        <v>https://federallibrary.us/DOD/DODI/5000.81/CURRENT/TITLE.html</v>
      </c>
      <c r="I475" t="str">
        <f t="shared" si="23"/>
        <v>&lt;tr&gt; &lt;td&gt; &lt;a href=https://federallibrary.us/DOD/DODI/5000.81/CURRENT/TITLE.html&gt; DODI 5000.81&lt;/a&gt; &lt;/td&gt; &lt;td&gt; Urgent Capability Acquisition &lt;/td&gt; &lt;/tr&gt;</v>
      </c>
    </row>
    <row r="476" spans="1:9" x14ac:dyDescent="0.25">
      <c r="A476" t="s">
        <v>1015</v>
      </c>
      <c r="B476" t="s">
        <v>1026</v>
      </c>
      <c r="C476" t="str">
        <f t="shared" si="21"/>
        <v>5000.82</v>
      </c>
      <c r="D476" t="s">
        <v>1157</v>
      </c>
      <c r="E476" s="2">
        <v>45078</v>
      </c>
      <c r="G476" t="s">
        <v>474</v>
      </c>
      <c r="H476" t="str">
        <f t="shared" si="22"/>
        <v>https://federallibrary.us/DOD/DODI/5000.82/CURRENT/TITLE.html</v>
      </c>
      <c r="I476" t="str">
        <f t="shared" si="23"/>
        <v>&lt;tr&gt; &lt;td&gt; &lt;a href=https://federallibrary.us/DOD/DODI/5000.82/CURRENT/TITLE.html&gt; DODI 5000.82&lt;/a&gt; &lt;/td&gt; &lt;td&gt; Requirements for the Acquisition of Digital Capabilities &lt;/td&gt; &lt;/tr&gt;</v>
      </c>
    </row>
    <row r="477" spans="1:9" x14ac:dyDescent="0.25">
      <c r="A477" t="s">
        <v>1015</v>
      </c>
      <c r="B477" t="s">
        <v>1027</v>
      </c>
      <c r="C477" t="str">
        <f t="shared" si="21"/>
        <v>5000.83</v>
      </c>
      <c r="D477" t="s">
        <v>1157</v>
      </c>
      <c r="E477" s="2">
        <v>44337</v>
      </c>
      <c r="G477" t="s">
        <v>475</v>
      </c>
      <c r="H477" t="str">
        <f t="shared" si="22"/>
        <v>https://federallibrary.us/DOD/DODI/5000.83/CURRENT/TITLE.html</v>
      </c>
      <c r="I477" t="str">
        <f t="shared" si="23"/>
        <v>&lt;tr&gt; &lt;td&gt; &lt;a href=https://federallibrary.us/DOD/DODI/5000.83/CURRENT/TITLE.html&gt; DODI 5000.83&lt;/a&gt; &lt;/td&gt; &lt;td&gt; Technology and Program Protection to Maintain Technological Advantage &lt;/td&gt; &lt;/tr&gt;</v>
      </c>
    </row>
    <row r="478" spans="1:9" x14ac:dyDescent="0.25">
      <c r="A478" t="s">
        <v>1015</v>
      </c>
      <c r="B478" t="s">
        <v>1028</v>
      </c>
      <c r="C478" t="str">
        <f t="shared" si="21"/>
        <v>5000.84</v>
      </c>
      <c r="D478" t="s">
        <v>1157</v>
      </c>
      <c r="E478" s="2">
        <v>44047</v>
      </c>
      <c r="G478" t="s">
        <v>476</v>
      </c>
      <c r="H478" t="str">
        <f t="shared" si="22"/>
        <v>https://federallibrary.us/DOD/DODI/5000.84/CURRENT/TITLE.html</v>
      </c>
      <c r="I478" t="str">
        <f t="shared" si="23"/>
        <v>&lt;tr&gt; &lt;td&gt; &lt;a href=https://federallibrary.us/DOD/DODI/5000.84/CURRENT/TITLE.html&gt; DODI 5000.84&lt;/a&gt; &lt;/td&gt; &lt;td&gt;  Analysis of Alternatives &lt;/td&gt; &lt;/tr&gt;</v>
      </c>
    </row>
    <row r="479" spans="1:9" x14ac:dyDescent="0.25">
      <c r="A479" t="s">
        <v>1015</v>
      </c>
      <c r="B479" t="s">
        <v>1029</v>
      </c>
      <c r="C479" t="str">
        <f t="shared" si="21"/>
        <v>5000.85</v>
      </c>
      <c r="D479" t="s">
        <v>1157</v>
      </c>
      <c r="E479" s="2">
        <v>44504</v>
      </c>
      <c r="G479" t="s">
        <v>477</v>
      </c>
      <c r="H479" t="str">
        <f t="shared" si="22"/>
        <v>https://federallibrary.us/DOD/DODI/5000.85/CURRENT/TITLE.html</v>
      </c>
      <c r="I479" t="str">
        <f t="shared" si="23"/>
        <v>&lt;tr&gt; &lt;td&gt; &lt;a href=https://federallibrary.us/DOD/DODI/5000.85/CURRENT/TITLE.html&gt; DODI 5000.85&lt;/a&gt; &lt;/td&gt; &lt;td&gt;  Major Capability Acquisition &lt;/td&gt; &lt;/tr&gt;</v>
      </c>
    </row>
    <row r="480" spans="1:9" x14ac:dyDescent="0.25">
      <c r="A480" t="s">
        <v>1015</v>
      </c>
      <c r="B480" t="s">
        <v>1030</v>
      </c>
      <c r="C480" t="str">
        <f t="shared" si="21"/>
        <v>5000.86</v>
      </c>
      <c r="D480" t="s">
        <v>1157</v>
      </c>
      <c r="E480" s="2">
        <v>44085</v>
      </c>
      <c r="G480" t="s">
        <v>478</v>
      </c>
      <c r="H480" t="str">
        <f t="shared" si="22"/>
        <v>https://federallibrary.us/DOD/DODI/5000.86/CURRENT/TITLE.html</v>
      </c>
      <c r="I480" t="str">
        <f t="shared" si="23"/>
        <v>&lt;tr&gt; &lt;td&gt; &lt;a href=https://federallibrary.us/DOD/DODI/5000.86/CURRENT/TITLE.html&gt; DODI 5000.86&lt;/a&gt; &lt;/td&gt; &lt;td&gt; Acquisition Intelligence &lt;/td&gt; &lt;/tr&gt;</v>
      </c>
    </row>
    <row r="481" spans="1:9" x14ac:dyDescent="0.25">
      <c r="A481" t="s">
        <v>1015</v>
      </c>
      <c r="B481" t="s">
        <v>1031</v>
      </c>
      <c r="C481" t="str">
        <f t="shared" si="21"/>
        <v>5000.87</v>
      </c>
      <c r="D481" t="s">
        <v>1157</v>
      </c>
      <c r="E481" s="2">
        <v>44106</v>
      </c>
      <c r="G481" t="s">
        <v>479</v>
      </c>
      <c r="H481" t="str">
        <f t="shared" si="22"/>
        <v>https://federallibrary.us/DOD/DODI/5000.87/CURRENT/TITLE.html</v>
      </c>
      <c r="I481" t="str">
        <f t="shared" si="23"/>
        <v>&lt;tr&gt; &lt;td&gt; &lt;a href=https://federallibrary.us/DOD/DODI/5000.87/CURRENT/TITLE.html&gt; DODI 5000.87&lt;/a&gt; &lt;/td&gt; &lt;td&gt; Operation of the Software Acquisition Pathway &lt;/td&gt; &lt;/tr&gt;</v>
      </c>
    </row>
    <row r="482" spans="1:9" x14ac:dyDescent="0.25">
      <c r="A482" t="s">
        <v>1015</v>
      </c>
      <c r="B482" t="s">
        <v>1032</v>
      </c>
      <c r="C482" t="str">
        <f t="shared" si="21"/>
        <v>5000.88</v>
      </c>
      <c r="D482" t="s">
        <v>1157</v>
      </c>
      <c r="E482" s="2">
        <v>44153</v>
      </c>
      <c r="G482" t="s">
        <v>480</v>
      </c>
      <c r="H482" t="str">
        <f t="shared" si="22"/>
        <v>https://federallibrary.us/DOD/DODI/5000.88/CURRENT/TITLE.html</v>
      </c>
      <c r="I482" t="str">
        <f t="shared" si="23"/>
        <v>&lt;tr&gt; &lt;td&gt; &lt;a href=https://federallibrary.us/DOD/DODI/5000.88/CURRENT/TITLE.html&gt; DODI 5000.88&lt;/a&gt; &lt;/td&gt; &lt;td&gt; Engineering of Defense Systems &lt;/td&gt; &lt;/tr&gt;</v>
      </c>
    </row>
    <row r="483" spans="1:9" x14ac:dyDescent="0.25">
      <c r="A483" t="s">
        <v>1015</v>
      </c>
      <c r="B483" t="s">
        <v>1033</v>
      </c>
      <c r="C483" t="str">
        <f t="shared" si="21"/>
        <v>5000.89</v>
      </c>
      <c r="D483" t="s">
        <v>1157</v>
      </c>
      <c r="E483" s="2">
        <v>44154</v>
      </c>
      <c r="G483" t="s">
        <v>481</v>
      </c>
      <c r="H483" t="str">
        <f t="shared" si="22"/>
        <v>https://federallibrary.us/DOD/DODI/5000.89/CURRENT/TITLE.html</v>
      </c>
      <c r="I483" t="str">
        <f t="shared" si="23"/>
        <v>&lt;tr&gt; &lt;td&gt; &lt;a href=https://federallibrary.us/DOD/DODI/5000.89/CURRENT/TITLE.html&gt; DODI 5000.89&lt;/a&gt; &lt;/td&gt; &lt;td&gt; Test and Evaluation &lt;/td&gt; &lt;/tr&gt;</v>
      </c>
    </row>
    <row r="484" spans="1:9" x14ac:dyDescent="0.25">
      <c r="A484" t="s">
        <v>1015</v>
      </c>
      <c r="B484" t="s">
        <v>1034</v>
      </c>
      <c r="C484" t="str">
        <f t="shared" si="21"/>
        <v>5000.90</v>
      </c>
      <c r="D484" t="s">
        <v>1157</v>
      </c>
      <c r="E484" s="2">
        <v>44196</v>
      </c>
      <c r="G484" t="s">
        <v>482</v>
      </c>
      <c r="H484" t="str">
        <f t="shared" si="22"/>
        <v>https://federallibrary.us/DOD/DODI/5000.90/CURRENT/TITLE.html</v>
      </c>
      <c r="I484" t="str">
        <f t="shared" si="23"/>
        <v>&lt;tr&gt; &lt;td&gt; &lt;a href=https://federallibrary.us/DOD/DODI/5000.90/CURRENT/TITLE.html&gt; DODI 5000.90&lt;/a&gt; &lt;/td&gt; &lt;td&gt; Cybersecurity for Acquisition Decision Authorities and Program Managers &lt;/td&gt; &lt;/tr&gt;</v>
      </c>
    </row>
    <row r="485" spans="1:9" x14ac:dyDescent="0.25">
      <c r="A485" t="s">
        <v>1015</v>
      </c>
      <c r="B485" t="s">
        <v>1035</v>
      </c>
      <c r="C485" t="str">
        <f t="shared" si="21"/>
        <v>5000.91</v>
      </c>
      <c r="D485" t="s">
        <v>1157</v>
      </c>
      <c r="E485" s="2">
        <v>44504</v>
      </c>
      <c r="G485" t="s">
        <v>483</v>
      </c>
      <c r="H485" t="str">
        <f t="shared" si="22"/>
        <v>https://federallibrary.us/DOD/DODI/5000.91/CURRENT/TITLE.html</v>
      </c>
      <c r="I485" t="str">
        <f t="shared" si="23"/>
        <v>&lt;tr&gt; &lt;td&gt; &lt;a href=https://federallibrary.us/DOD/DODI/5000.91/CURRENT/TITLE.html&gt; DODI 5000.91&lt;/a&gt; &lt;/td&gt; &lt;td&gt; Product Support Management for the Adaptive Acquisition  Framework &lt;/td&gt; &lt;/tr&gt;</v>
      </c>
    </row>
    <row r="486" spans="1:9" x14ac:dyDescent="0.25">
      <c r="A486" t="s">
        <v>1015</v>
      </c>
      <c r="B486" t="s">
        <v>1036</v>
      </c>
      <c r="C486" t="str">
        <f t="shared" si="21"/>
        <v>5000.92</v>
      </c>
      <c r="D486" t="s">
        <v>1157</v>
      </c>
      <c r="E486" s="2">
        <v>44323</v>
      </c>
      <c r="G486" t="s">
        <v>484</v>
      </c>
      <c r="H486" t="str">
        <f t="shared" si="22"/>
        <v>https://federallibrary.us/DOD/DODI/5000.92/CURRENT/TITLE.html</v>
      </c>
      <c r="I486" t="str">
        <f t="shared" si="23"/>
        <v>&lt;tr&gt; &lt;td&gt; &lt;a href=https://federallibrary.us/DOD/DODI/5000.92/CURRENT/TITLE.html&gt; DODI 5000.92&lt;/a&gt; &lt;/td&gt; &lt;td&gt; Innovation and Technology to Sustain Materiel Readiness &lt;/td&gt; &lt;/tr&gt;</v>
      </c>
    </row>
    <row r="487" spans="1:9" x14ac:dyDescent="0.25">
      <c r="A487" t="s">
        <v>1015</v>
      </c>
      <c r="B487" t="s">
        <v>1037</v>
      </c>
      <c r="C487" t="str">
        <f t="shared" si="21"/>
        <v>5000.93</v>
      </c>
      <c r="D487" t="s">
        <v>1157</v>
      </c>
      <c r="E487" s="2">
        <v>44383</v>
      </c>
      <c r="G487" t="s">
        <v>485</v>
      </c>
      <c r="H487" t="str">
        <f t="shared" si="22"/>
        <v>https://federallibrary.us/DOD/DODI/5000.93/CURRENT/TITLE.html</v>
      </c>
      <c r="I487" t="str">
        <f t="shared" si="23"/>
        <v>&lt;tr&gt; &lt;td&gt; &lt;a href=https://federallibrary.us/DOD/DODI/5000.93/CURRENT/TITLE.html&gt; DODI 5000.93&lt;/a&gt; &lt;/td&gt; &lt;td&gt; Use of Additive Manufacturing in the DoD &lt;/td&gt; &lt;/tr&gt;</v>
      </c>
    </row>
    <row r="488" spans="1:9" x14ac:dyDescent="0.25">
      <c r="A488" t="s">
        <v>1015</v>
      </c>
      <c r="B488" t="s">
        <v>1038</v>
      </c>
      <c r="C488" t="str">
        <f t="shared" si="21"/>
        <v>5000.94</v>
      </c>
      <c r="D488" t="s">
        <v>1157</v>
      </c>
      <c r="E488" s="2">
        <v>44648</v>
      </c>
      <c r="G488" t="s">
        <v>486</v>
      </c>
      <c r="H488" t="str">
        <f t="shared" si="22"/>
        <v>https://federallibrary.us/DOD/DODI/5000.94/CURRENT/TITLE.html</v>
      </c>
      <c r="I488" t="str">
        <f t="shared" si="23"/>
        <v>&lt;tr&gt; &lt;td&gt; &lt;a href=https://federallibrary.us/DOD/DODI/5000.94/CURRENT/TITLE.html&gt; DODI 5000.94&lt;/a&gt; &lt;/td&gt; &lt;td&gt; Use of Robotic Systems for Manufacturing and Sustainment in the DoD &lt;/td&gt; &lt;/tr&gt;</v>
      </c>
    </row>
    <row r="489" spans="1:9" x14ac:dyDescent="0.25">
      <c r="A489" t="s">
        <v>1015</v>
      </c>
      <c r="B489" t="s">
        <v>1039</v>
      </c>
      <c r="C489" t="str">
        <f t="shared" si="21"/>
        <v>5000.95</v>
      </c>
      <c r="D489" t="s">
        <v>1157</v>
      </c>
      <c r="E489" s="2">
        <v>44652</v>
      </c>
      <c r="G489" t="s">
        <v>487</v>
      </c>
      <c r="H489" t="str">
        <f t="shared" si="22"/>
        <v>https://federallibrary.us/DOD/DODI/5000.95/CURRENT/TITLE.html</v>
      </c>
      <c r="I489" t="str">
        <f t="shared" si="23"/>
        <v>&lt;tr&gt; &lt;td&gt; &lt;a href=https://federallibrary.us/DOD/DODI/5000.95/CURRENT/TITLE.html&gt; DODI 5000.95&lt;/a&gt; &lt;/td&gt; &lt;td&gt; Human Systems Integration in Defense Acquisition &lt;/td&gt; &lt;/tr&gt;</v>
      </c>
    </row>
    <row r="490" spans="1:9" x14ac:dyDescent="0.25">
      <c r="A490" t="s">
        <v>1015</v>
      </c>
      <c r="B490" t="s">
        <v>1040</v>
      </c>
      <c r="C490" t="str">
        <f t="shared" si="21"/>
        <v>5000.97</v>
      </c>
      <c r="D490" t="s">
        <v>1157</v>
      </c>
      <c r="E490" s="2">
        <v>45281</v>
      </c>
      <c r="G490" t="s">
        <v>488</v>
      </c>
      <c r="H490" t="str">
        <f t="shared" si="22"/>
        <v>https://federallibrary.us/DOD/DODI/5000.97/CURRENT/TITLE.html</v>
      </c>
      <c r="I490" t="str">
        <f t="shared" si="23"/>
        <v>&lt;tr&gt; &lt;td&gt; &lt;a href=https://federallibrary.us/DOD/DODI/5000.97/CURRENT/TITLE.html&gt; DODI 5000.97&lt;/a&gt; &lt;/td&gt; &lt;td&gt; Digital Engineering &lt;/td&gt; &lt;/tr&gt;</v>
      </c>
    </row>
    <row r="491" spans="1:9" x14ac:dyDescent="0.25">
      <c r="A491" t="s">
        <v>1041</v>
      </c>
      <c r="B491" t="s">
        <v>1042</v>
      </c>
      <c r="C491" t="str">
        <f t="shared" si="21"/>
        <v>5010.40</v>
      </c>
      <c r="D491" t="s">
        <v>1157</v>
      </c>
      <c r="E491" s="2">
        <v>44012</v>
      </c>
      <c r="G491" t="s">
        <v>489</v>
      </c>
      <c r="H491" t="str">
        <f t="shared" si="22"/>
        <v>https://federallibrary.us/DOD/DODI/5010.40/CURRENT/TITLE.html</v>
      </c>
      <c r="I491" t="str">
        <f t="shared" si="23"/>
        <v>&lt;tr&gt; &lt;td&gt; &lt;a href=https://federallibrary.us/DOD/DODI/5010.40/CURRENT/TITLE.html&gt; DODI 5010.40&lt;/a&gt; &lt;/td&gt; &lt;td&gt; Managers' Internal Control Program Procedures &lt;/td&gt; &lt;/tr&gt;</v>
      </c>
    </row>
    <row r="492" spans="1:9" x14ac:dyDescent="0.25">
      <c r="A492" t="s">
        <v>1041</v>
      </c>
      <c r="B492" t="s">
        <v>950</v>
      </c>
      <c r="C492" t="str">
        <f t="shared" si="21"/>
        <v>5010.41</v>
      </c>
      <c r="D492" t="s">
        <v>1157</v>
      </c>
      <c r="E492" s="2">
        <v>38607</v>
      </c>
      <c r="G492" t="s">
        <v>490</v>
      </c>
      <c r="H492" t="str">
        <f t="shared" si="22"/>
        <v>https://federallibrary.us/DOD/DODI/5010.41/CURRENT/TITLE.html</v>
      </c>
      <c r="I492" t="str">
        <f t="shared" si="23"/>
        <v>&lt;tr&gt; &lt;td&gt; &lt;a href=https://federallibrary.us/DOD/DODI/5010.41/CURRENT/TITLE.html&gt; DODI 5010.41&lt;/a&gt; &lt;/td&gt; &lt;td&gt; Joint Test and Evaluation (JT&amp;E) Program &lt;/td&gt; &lt;/tr&gt;</v>
      </c>
    </row>
    <row r="493" spans="1:9" x14ac:dyDescent="0.25">
      <c r="A493" t="s">
        <v>1041</v>
      </c>
      <c r="B493" t="s">
        <v>913</v>
      </c>
      <c r="C493" t="str">
        <f t="shared" si="21"/>
        <v>5010.43</v>
      </c>
      <c r="D493" t="s">
        <v>1157</v>
      </c>
      <c r="E493" s="2">
        <v>40011</v>
      </c>
      <c r="G493" t="s">
        <v>491</v>
      </c>
      <c r="H493" t="str">
        <f t="shared" si="22"/>
        <v>https://federallibrary.us/DOD/DODI/5010.43/CURRENT/TITLE.html</v>
      </c>
      <c r="I493" t="str">
        <f t="shared" si="23"/>
        <v>&lt;tr&gt; &lt;td&gt; &lt;a href=https://federallibrary.us/DOD/DODI/5010.43/CURRENT/TITLE.html&gt; DODI 5010.43&lt;/a&gt; &lt;/td&gt; &lt;td&gt; Implementation and Management of the DoD-Wide Continuous Process Improvement/Lean Six Sigma (CPI/LSS) Program &lt;/td&gt; &lt;/tr&gt;</v>
      </c>
    </row>
    <row r="494" spans="1:9" x14ac:dyDescent="0.25">
      <c r="A494" t="s">
        <v>1041</v>
      </c>
      <c r="B494" t="s">
        <v>1043</v>
      </c>
      <c r="C494" t="str">
        <f t="shared" si="21"/>
        <v>5010.44</v>
      </c>
      <c r="D494" t="s">
        <v>1157</v>
      </c>
      <c r="E494" s="2">
        <v>43754</v>
      </c>
      <c r="G494" t="s">
        <v>492</v>
      </c>
      <c r="H494" t="str">
        <f t="shared" si="22"/>
        <v>https://federallibrary.us/DOD/DODI/5010.44/CURRENT/TITLE.html</v>
      </c>
      <c r="I494" t="str">
        <f t="shared" si="23"/>
        <v>&lt;tr&gt; &lt;td&gt; &lt;a href=https://federallibrary.us/DOD/DODI/5010.44/CURRENT/TITLE.html&gt; DODI 5010.44&lt;/a&gt; &lt;/td&gt; &lt;td&gt; Intellectual Property (IP) Acquisition and Licensing &lt;/td&gt; &lt;/tr&gt;</v>
      </c>
    </row>
    <row r="495" spans="1:9" x14ac:dyDescent="0.25">
      <c r="A495" t="s">
        <v>1044</v>
      </c>
      <c r="B495" t="s">
        <v>870</v>
      </c>
      <c r="C495" t="str">
        <f t="shared" si="21"/>
        <v>5015.02</v>
      </c>
      <c r="D495" t="s">
        <v>1157</v>
      </c>
      <c r="E495" s="2">
        <v>42964</v>
      </c>
      <c r="G495" t="s">
        <v>493</v>
      </c>
      <c r="H495" t="str">
        <f t="shared" si="22"/>
        <v>https://federallibrary.us/DOD/DODI/5015.02/CURRENT/TITLE.html</v>
      </c>
      <c r="I495" t="str">
        <f t="shared" si="23"/>
        <v>&lt;tr&gt; &lt;td&gt; &lt;a href=https://federallibrary.us/DOD/DODI/5015.02/CURRENT/TITLE.html&gt; DODI 5015.02&lt;/a&gt; &lt;/td&gt; &lt;td&gt; DoD Records Management Program &lt;/td&gt; &lt;/tr&gt;</v>
      </c>
    </row>
    <row r="496" spans="1:9" x14ac:dyDescent="0.25">
      <c r="A496" t="s">
        <v>1045</v>
      </c>
      <c r="B496" t="s">
        <v>845</v>
      </c>
      <c r="C496" t="str">
        <f t="shared" si="21"/>
        <v>5025.01</v>
      </c>
      <c r="D496" t="s">
        <v>1157</v>
      </c>
      <c r="E496" s="2">
        <v>45084</v>
      </c>
      <c r="G496" t="s">
        <v>494</v>
      </c>
      <c r="H496" t="str">
        <f t="shared" si="22"/>
        <v>https://federallibrary.us/DOD/DODI/5025.01/CURRENT/TITLE.html</v>
      </c>
      <c r="I496" t="str">
        <f t="shared" si="23"/>
        <v>&lt;tr&gt; &lt;td&gt; &lt;a href=https://federallibrary.us/DOD/DODI/5025.01/CURRENT/TITLE.html&gt; DODI 5025.01&lt;/a&gt; &lt;/td&gt; &lt;td&gt; DoD Issuances Program &lt;/td&gt; &lt;/tr&gt;</v>
      </c>
    </row>
    <row r="497" spans="1:9" x14ac:dyDescent="0.25">
      <c r="A497" t="s">
        <v>1045</v>
      </c>
      <c r="B497" t="s">
        <v>886</v>
      </c>
      <c r="C497" t="str">
        <f t="shared" si="21"/>
        <v>5025.12</v>
      </c>
      <c r="D497" t="s">
        <v>1157</v>
      </c>
      <c r="E497" s="2">
        <v>44582</v>
      </c>
      <c r="G497" t="s">
        <v>495</v>
      </c>
      <c r="H497" t="str">
        <f t="shared" si="22"/>
        <v>https://federallibrary.us/DOD/DODI/5025.12/CURRENT/TITLE.html</v>
      </c>
      <c r="I497" t="str">
        <f t="shared" si="23"/>
        <v>&lt;tr&gt; &lt;td&gt; &lt;a href=https://federallibrary.us/DOD/DODI/5025.12/CURRENT/TITLE.html&gt; DODI 5025.12&lt;/a&gt; &lt;/td&gt; &lt;td&gt; Standardization of Military and Associated Terminology &lt;/td&gt; &lt;/tr&gt;</v>
      </c>
    </row>
    <row r="498" spans="1:9" x14ac:dyDescent="0.25">
      <c r="A498" t="s">
        <v>1045</v>
      </c>
      <c r="B498" t="s">
        <v>848</v>
      </c>
      <c r="C498" t="str">
        <f t="shared" si="21"/>
        <v>5025.13</v>
      </c>
      <c r="D498" t="s">
        <v>1157</v>
      </c>
      <c r="E498" s="2">
        <v>45331</v>
      </c>
      <c r="G498" t="s">
        <v>496</v>
      </c>
      <c r="H498" t="str">
        <f t="shared" si="22"/>
        <v>https://federallibrary.us/DOD/DODI/5025.13/CURRENT/TITLE.html</v>
      </c>
      <c r="I498" t="str">
        <f t="shared" si="23"/>
        <v>&lt;tr&gt; &lt;td&gt; &lt;a href=https://federallibrary.us/DOD/DODI/5025.13/CURRENT/TITLE.html&gt; DODI 5025.13&lt;/a&gt; &lt;/td&gt; &lt;td&gt; DoD Plain Language Program &lt;/td&gt; &lt;/tr&gt;</v>
      </c>
    </row>
    <row r="499" spans="1:9" x14ac:dyDescent="0.25">
      <c r="A499" t="s">
        <v>1045</v>
      </c>
      <c r="B499" t="s">
        <v>859</v>
      </c>
      <c r="C499" t="str">
        <f t="shared" si="21"/>
        <v>5025.14</v>
      </c>
      <c r="D499" t="s">
        <v>1157</v>
      </c>
      <c r="E499" s="2">
        <v>43336</v>
      </c>
      <c r="G499" t="s">
        <v>497</v>
      </c>
      <c r="H499" t="str">
        <f t="shared" si="22"/>
        <v>https://federallibrary.us/DOD/DODI/5025.14/CURRENT/TITLE.html</v>
      </c>
      <c r="I499" t="str">
        <f t="shared" si="23"/>
        <v>&lt;tr&gt; &lt;td&gt; &lt;a href=https://federallibrary.us/DOD/DODI/5025.14/CURRENT/TITLE.html&gt; DODI 5025.14&lt;/a&gt; &lt;/td&gt; &lt;td&gt; DoD Guidance for Implementation of the National Vessel of Interest (NVOI) Lexicon &lt;/td&gt; &lt;/tr&gt;</v>
      </c>
    </row>
    <row r="500" spans="1:9" x14ac:dyDescent="0.25">
      <c r="A500" t="s">
        <v>1046</v>
      </c>
      <c r="B500" t="s">
        <v>871</v>
      </c>
      <c r="C500" t="str">
        <f t="shared" si="21"/>
        <v>5030.07</v>
      </c>
      <c r="D500" t="s">
        <v>1157</v>
      </c>
      <c r="E500" s="2">
        <v>45211</v>
      </c>
      <c r="G500" t="s">
        <v>498</v>
      </c>
      <c r="H500" t="str">
        <f t="shared" si="22"/>
        <v>https://federallibrary.us/DOD/DODI/5030.07/CURRENT/TITLE.html</v>
      </c>
      <c r="I500" t="str">
        <f t="shared" si="23"/>
        <v>&lt;tr&gt; &lt;td&gt; &lt;a href=https://federallibrary.us/DOD/DODI/5030.07/CURRENT/TITLE.html&gt; DODI 5030.07&lt;/a&gt; &lt;/td&gt; &lt;td&gt; Coordination of Significant Litigation and Other Matters Involving the Department of Justice &lt;/td&gt; &lt;/tr&gt;</v>
      </c>
    </row>
    <row r="501" spans="1:9" x14ac:dyDescent="0.25">
      <c r="A501" t="s">
        <v>1046</v>
      </c>
      <c r="B501" t="s">
        <v>859</v>
      </c>
      <c r="C501" t="str">
        <f t="shared" si="21"/>
        <v>5030.14</v>
      </c>
      <c r="D501" t="s">
        <v>1157</v>
      </c>
      <c r="E501" s="2">
        <v>43979</v>
      </c>
      <c r="G501" t="s">
        <v>499</v>
      </c>
      <c r="H501" t="str">
        <f t="shared" si="22"/>
        <v>https://federallibrary.us/DOD/DODI/5030.14/CURRENT/TITLE.html</v>
      </c>
      <c r="I501" t="str">
        <f t="shared" si="23"/>
        <v>&lt;tr&gt; &lt;td&gt; &lt;a href=https://federallibrary.us/DOD/DODI/5030.14/CURRENT/TITLE.html&gt; DODI 5030.14&lt;/a&gt; &lt;/td&gt; &lt;td&gt; Disclosure of Atomic Information to Foreign Governments and Regional Defense Organizations &lt;/td&gt; &lt;/tr&gt;</v>
      </c>
    </row>
    <row r="502" spans="1:9" x14ac:dyDescent="0.25">
      <c r="A502" t="s">
        <v>1046</v>
      </c>
      <c r="B502" t="s">
        <v>900</v>
      </c>
      <c r="C502" t="str">
        <f t="shared" si="21"/>
        <v>5030.36</v>
      </c>
      <c r="D502" t="s">
        <v>1157</v>
      </c>
      <c r="E502" s="2">
        <v>43343</v>
      </c>
      <c r="G502" t="s">
        <v>500</v>
      </c>
      <c r="H502" t="str">
        <f t="shared" si="22"/>
        <v>https://federallibrary.us/DOD/DODI/5030.36/CURRENT/TITLE.html</v>
      </c>
      <c r="I502" t="str">
        <f t="shared" si="23"/>
        <v>&lt;tr&gt; &lt;td&gt; &lt;a href=https://federallibrary.us/DOD/DODI/5030.36/CURRENT/TITLE.html&gt; DODI 5030.36&lt;/a&gt; &lt;/td&gt; &lt;td&gt; Emergency Security Control of Air Traffic (ESCAT) &lt;/td&gt; &lt;/tr&gt;</v>
      </c>
    </row>
    <row r="503" spans="1:9" x14ac:dyDescent="0.25">
      <c r="A503">
        <v>5030</v>
      </c>
      <c r="B503" t="s">
        <v>1043</v>
      </c>
      <c r="C503" t="str">
        <f t="shared" si="21"/>
        <v>5030.44</v>
      </c>
      <c r="D503" t="s">
        <v>1157</v>
      </c>
      <c r="E503" s="2">
        <v>38637</v>
      </c>
      <c r="G503" t="s">
        <v>501</v>
      </c>
      <c r="H503" t="str">
        <f t="shared" si="22"/>
        <v>https://federallibrary.us/DOD/DODI/5030.44/CURRENT/TITLE.html</v>
      </c>
      <c r="I503" t="str">
        <f t="shared" si="23"/>
        <v>&lt;tr&gt; &lt;td&gt; &lt;a href=https://federallibrary.us/DOD/DODI/5030.44/CURRENT/TITLE.html&gt; DODI 5030.44&lt;/a&gt; &lt;/td&gt; &lt;td&gt; Significant Military Exercises and Freedom of Navigation Assertions in Politically Sensitive Areas (U) &lt;/td&gt; &lt;/tr&gt;</v>
      </c>
    </row>
    <row r="504" spans="1:9" x14ac:dyDescent="0.25">
      <c r="A504" t="s">
        <v>1046</v>
      </c>
      <c r="B504" t="s">
        <v>1006</v>
      </c>
      <c r="C504" t="str">
        <f t="shared" si="21"/>
        <v>5030.53</v>
      </c>
      <c r="D504" t="s">
        <v>1157</v>
      </c>
      <c r="E504" s="2">
        <v>42947</v>
      </c>
      <c r="G504" t="s">
        <v>502</v>
      </c>
      <c r="H504" t="str">
        <f t="shared" si="22"/>
        <v>https://federallibrary.us/DOD/DODI/5030.53/CURRENT/TITLE.html</v>
      </c>
      <c r="I504" t="str">
        <f t="shared" si="23"/>
        <v>&lt;tr&gt; &lt;td&gt; &lt;a href=https://federallibrary.us/DOD/DODI/5030.53/CURRENT/TITLE.html&gt; DODI 5030.53&lt;/a&gt; &lt;/td&gt; &lt;td&gt; Reimbursement for General Services Administration (GSA) Space, Services, and Facilities; and Department of Homeland Security (DHS), Washington Headquarters Services (WHS), and Pentagon Force Protection Agency (PFPA) Services &lt;/td&gt; &lt;/tr&gt;</v>
      </c>
    </row>
    <row r="505" spans="1:9" x14ac:dyDescent="0.25">
      <c r="A505" t="s">
        <v>1046</v>
      </c>
      <c r="B505" t="s">
        <v>997</v>
      </c>
      <c r="C505" t="str">
        <f t="shared" si="21"/>
        <v>5030.56</v>
      </c>
      <c r="D505" t="s">
        <v>1157</v>
      </c>
      <c r="E505" s="2">
        <v>43936</v>
      </c>
      <c r="G505" t="s">
        <v>503</v>
      </c>
      <c r="H505" t="str">
        <f t="shared" si="22"/>
        <v>https://federallibrary.us/DOD/DODI/5030.56/CURRENT/TITLE.html</v>
      </c>
      <c r="I505" t="str">
        <f t="shared" si="23"/>
        <v>&lt;tr&gt; &lt;td&gt; &lt;a href=https://federallibrary.us/DOD/DODI/5030.56/CURRENT/TITLE.html&gt; DODI 5030.56&lt;/a&gt; &lt;/td&gt; &lt;td&gt; DoD Consumer Affairs Program &lt;/td&gt; &lt;/tr&gt;</v>
      </c>
    </row>
    <row r="506" spans="1:9" x14ac:dyDescent="0.25">
      <c r="A506" t="s">
        <v>1046</v>
      </c>
      <c r="B506" t="s">
        <v>998</v>
      </c>
      <c r="C506" t="str">
        <f t="shared" si="21"/>
        <v>5030.57</v>
      </c>
      <c r="D506" t="s">
        <v>1157</v>
      </c>
      <c r="E506" s="2">
        <v>44133</v>
      </c>
      <c r="G506" t="s">
        <v>504</v>
      </c>
      <c r="H506" t="str">
        <f t="shared" si="22"/>
        <v>https://federallibrary.us/DOD/DODI/5030.57/CURRENT/TITLE.html</v>
      </c>
      <c r="I506" t="str">
        <f t="shared" si="23"/>
        <v>&lt;tr&gt; &lt;td&gt; &lt;a href=https://federallibrary.us/DOD/DODI/5030.57/CURRENT/TITLE.html&gt; DODI 5030.57&lt;/a&gt; &lt;/td&gt; &lt;td&gt; Special Warnings to Mariners &lt;/td&gt; &lt;/tr&gt;</v>
      </c>
    </row>
    <row r="507" spans="1:9" x14ac:dyDescent="0.25">
      <c r="A507" t="s">
        <v>1046</v>
      </c>
      <c r="B507" t="s">
        <v>1047</v>
      </c>
      <c r="C507" t="str">
        <f t="shared" si="21"/>
        <v>5030.59</v>
      </c>
      <c r="D507" t="s">
        <v>1157</v>
      </c>
      <c r="E507" s="2">
        <v>44098</v>
      </c>
      <c r="G507" t="s">
        <v>505</v>
      </c>
      <c r="H507" t="str">
        <f t="shared" si="22"/>
        <v>https://federallibrary.us/DOD/DODI/5030.59/CURRENT/TITLE.html</v>
      </c>
      <c r="I507" t="str">
        <f t="shared" si="23"/>
        <v>&lt;tr&gt; &lt;td&gt; &lt;a href=https://federallibrary.us/DOD/DODI/5030.59/CURRENT/TITLE.html&gt; DODI 5030.59&lt;/a&gt; &lt;/td&gt; &lt;td&gt; National Geospatial-Intelligence Agency (NGA) LIMITED DISTRIBUTION Geospatial Intelligence (GEOINT) &lt;/td&gt; &lt;/tr&gt;</v>
      </c>
    </row>
    <row r="508" spans="1:9" x14ac:dyDescent="0.25">
      <c r="A508" t="s">
        <v>1046</v>
      </c>
      <c r="B508" t="s">
        <v>1016</v>
      </c>
      <c r="C508" t="str">
        <f t="shared" si="21"/>
        <v>5030.60</v>
      </c>
      <c r="D508" t="s">
        <v>1157</v>
      </c>
      <c r="E508" s="2">
        <v>44671</v>
      </c>
      <c r="G508" t="s">
        <v>506</v>
      </c>
      <c r="H508" t="str">
        <f t="shared" si="22"/>
        <v>https://federallibrary.us/DOD/DODI/5030.60/CURRENT/TITLE.html</v>
      </c>
      <c r="I508" t="str">
        <f t="shared" si="23"/>
        <v>&lt;tr&gt; &lt;td&gt; &lt;a href=https://federallibrary.us/DOD/DODI/5030.60/CURRENT/TITLE.html&gt; DODI 5030.60&lt;/a&gt; &lt;/td&gt; &lt;td&gt; Reimbursable Project Work Authorization (Above Standard Orders) Procedures for Washington Headquarters Services-Owned and Delegated Leased Facilities &lt;/td&gt; &lt;/tr&gt;</v>
      </c>
    </row>
    <row r="509" spans="1:9" x14ac:dyDescent="0.25">
      <c r="A509" t="s">
        <v>1048</v>
      </c>
      <c r="B509" t="s">
        <v>845</v>
      </c>
      <c r="C509" t="str">
        <f t="shared" si="21"/>
        <v>5035.01</v>
      </c>
      <c r="D509" t="s">
        <v>1157</v>
      </c>
      <c r="E509" s="2">
        <v>44664</v>
      </c>
      <c r="G509" t="s">
        <v>507</v>
      </c>
      <c r="H509" t="str">
        <f t="shared" si="22"/>
        <v>https://federallibrary.us/DOD/DODI/5035.01/CURRENT/TITLE.html</v>
      </c>
      <c r="I509" t="str">
        <f t="shared" si="23"/>
        <v>&lt;tr&gt; &lt;td&gt; &lt;a href=https://federallibrary.us/DOD/DODI/5035.01/CURRENT/TITLE.html&gt; DODI 5035.01&lt;/a&gt; &lt;/td&gt; &lt;td&gt; Combined Federal Campaign Fundraising Within the DoD &lt;/td&gt; &lt;/tr&gt;</v>
      </c>
    </row>
    <row r="510" spans="1:9" x14ac:dyDescent="0.25">
      <c r="A510" t="s">
        <v>1049</v>
      </c>
      <c r="B510" t="s">
        <v>870</v>
      </c>
      <c r="C510" t="str">
        <f t="shared" si="21"/>
        <v>5040.02</v>
      </c>
      <c r="D510" t="s">
        <v>1157</v>
      </c>
      <c r="E510" s="2">
        <v>43210</v>
      </c>
      <c r="G510" t="s">
        <v>508</v>
      </c>
      <c r="H510" t="str">
        <f t="shared" si="22"/>
        <v>https://federallibrary.us/DOD/DODI/5040.02/CURRENT/TITLE.html</v>
      </c>
      <c r="I510" t="str">
        <f t="shared" si="23"/>
        <v>&lt;tr&gt; &lt;td&gt; &lt;a href=https://federallibrary.us/DOD/DODI/5040.02/CURRENT/TITLE.html&gt; DODI 5040.02&lt;/a&gt; &lt;/td&gt; &lt;td&gt; Visual Information (VI) &lt;/td&gt; &lt;/tr&gt;</v>
      </c>
    </row>
    <row r="511" spans="1:9" x14ac:dyDescent="0.25">
      <c r="A511" t="s">
        <v>1049</v>
      </c>
      <c r="B511" t="s">
        <v>871</v>
      </c>
      <c r="C511" t="str">
        <f t="shared" si="21"/>
        <v>5040.07</v>
      </c>
      <c r="D511" t="s">
        <v>1157</v>
      </c>
      <c r="E511" s="2">
        <v>43943</v>
      </c>
      <c r="G511" t="s">
        <v>509</v>
      </c>
      <c r="H511" t="str">
        <f t="shared" si="22"/>
        <v>https://federallibrary.us/DOD/DODI/5040.07/CURRENT/TITLE.html</v>
      </c>
      <c r="I511" t="str">
        <f t="shared" si="23"/>
        <v>&lt;tr&gt; &lt;td&gt; &lt;a href=https://federallibrary.us/DOD/DODI/5040.07/CURRENT/TITLE.html&gt; DODI 5040.07&lt;/a&gt; &lt;/td&gt; &lt;td&gt; Visual Information (VI) Productions &lt;/td&gt; &lt;/tr&gt;</v>
      </c>
    </row>
    <row r="512" spans="1:9" x14ac:dyDescent="0.25">
      <c r="A512" t="s">
        <v>1050</v>
      </c>
      <c r="B512" t="s">
        <v>845</v>
      </c>
      <c r="C512" t="str">
        <f t="shared" si="21"/>
        <v>5045.01</v>
      </c>
      <c r="D512" t="s">
        <v>1157</v>
      </c>
      <c r="E512" s="2">
        <v>44582</v>
      </c>
      <c r="G512" t="s">
        <v>510</v>
      </c>
      <c r="H512" t="str">
        <f t="shared" si="22"/>
        <v>https://federallibrary.us/DOD/DODI/5045.01/CURRENT/TITLE.html</v>
      </c>
      <c r="I512" t="str">
        <f t="shared" si="23"/>
        <v>&lt;tr&gt; &lt;td&gt; &lt;a href=https://federallibrary.us/DOD/DODI/5045.01/CURRENT/TITLE.html&gt; DODI 5045.01&lt;/a&gt; &lt;/td&gt; &lt;td&gt; Implementation of the Correspondence and Task Management System (CATMS) &lt;/td&gt; &lt;/tr&gt;</v>
      </c>
    </row>
    <row r="513" spans="1:9" x14ac:dyDescent="0.25">
      <c r="A513">
        <v>5100</v>
      </c>
      <c r="B513" t="s">
        <v>913</v>
      </c>
      <c r="C513" t="str">
        <f t="shared" si="21"/>
        <v>5100.43</v>
      </c>
      <c r="D513" t="s">
        <v>1157</v>
      </c>
      <c r="E513" s="2">
        <v>43902</v>
      </c>
      <c r="G513" t="s">
        <v>511</v>
      </c>
      <c r="H513" t="str">
        <f t="shared" si="22"/>
        <v>https://federallibrary.us/DOD/DODI/5100.43/CURRENT/TITLE.html</v>
      </c>
      <c r="I513" t="str">
        <f t="shared" si="23"/>
        <v>&lt;tr&gt; &lt;td&gt; &lt;a href=https://federallibrary.us/DOD/DODI/5100.43/CURRENT/TITLE.html&gt; DODI 5100.43&lt;/a&gt; &lt;/td&gt; &lt;td&gt; (U) Defense Special Missile and Aerospace Center (DEFSMAC) &lt;/td&gt; &lt;/tr&gt;</v>
      </c>
    </row>
    <row r="514" spans="1:9" x14ac:dyDescent="0.25">
      <c r="A514" t="s">
        <v>1051</v>
      </c>
      <c r="B514" t="s">
        <v>1018</v>
      </c>
      <c r="C514" t="str">
        <f t="shared" si="21"/>
        <v>5100.64</v>
      </c>
      <c r="D514" t="s">
        <v>1157</v>
      </c>
      <c r="E514" s="2">
        <v>43213</v>
      </c>
      <c r="G514" t="s">
        <v>512</v>
      </c>
      <c r="H514" t="str">
        <f t="shared" si="22"/>
        <v>https://federallibrary.us/DOD/DODI/5100.64/CURRENT/TITLE.html</v>
      </c>
      <c r="I514" t="str">
        <f t="shared" si="23"/>
        <v>&lt;tr&gt; &lt;td&gt; &lt;a href=https://federallibrary.us/DOD/DODI/5100.64/CURRENT/TITLE.html&gt; DODI 5100.64&lt;/a&gt; &lt;/td&gt; &lt;td&gt; DoD Foreign Tax Relief Program &lt;/td&gt; &lt;/tr&gt;</v>
      </c>
    </row>
    <row r="515" spans="1:9" x14ac:dyDescent="0.25">
      <c r="A515" t="s">
        <v>1051</v>
      </c>
      <c r="B515" t="s">
        <v>990</v>
      </c>
      <c r="C515" t="str">
        <f t="shared" ref="C515:C578" si="24">_xlfn.CONCAT(A515,".",B515)</f>
        <v>5100.73</v>
      </c>
      <c r="D515" t="s">
        <v>1157</v>
      </c>
      <c r="E515" s="2">
        <v>41072</v>
      </c>
      <c r="G515" t="s">
        <v>513</v>
      </c>
      <c r="H515" t="str">
        <f t="shared" ref="H515:H578" si="25">IF(D515="CURRENT",_xlfn.CONCAT("https://federallibrary.us/DOD/DODI/",C515,"/CURRENT/TITLE.html"),"")</f>
        <v>https://federallibrary.us/DOD/DODI/5100.73/CURRENT/TITLE.html</v>
      </c>
      <c r="I515" t="str">
        <f t="shared" ref="I515:I578" si="26">IF(D515="CURRENT",_xlfn.CONCAT("&lt;tr&gt; &lt;td&gt; &lt;a href=",H515,"&gt; DODI ",C515, "&lt;/a&gt; &lt;/td&gt; &lt;td&gt; ", G515, " &lt;/td&gt; &lt;/tr&gt;"),"")</f>
        <v>&lt;tr&gt; &lt;td&gt; &lt;a href=https://federallibrary.us/DOD/DODI/5100.73/CURRENT/TITLE.html&gt; DODI 5100.73&lt;/a&gt; &lt;/td&gt; &lt;td&gt; Major DoD Headquarters Activities &lt;/td&gt; &lt;/tr&gt;</v>
      </c>
    </row>
    <row r="516" spans="1:9" x14ac:dyDescent="0.25">
      <c r="A516" t="s">
        <v>1051</v>
      </c>
      <c r="B516" t="s">
        <v>1021</v>
      </c>
      <c r="C516" t="str">
        <f t="shared" si="24"/>
        <v>5100.76</v>
      </c>
      <c r="D516" t="s">
        <v>1157</v>
      </c>
      <c r="E516" s="2">
        <v>44123</v>
      </c>
      <c r="G516" t="s">
        <v>514</v>
      </c>
      <c r="H516" t="str">
        <f t="shared" si="25"/>
        <v>https://federallibrary.us/DOD/DODI/5100.76/CURRENT/TITLE.html</v>
      </c>
      <c r="I516" t="str">
        <f t="shared" si="26"/>
        <v>&lt;tr&gt; &lt;td&gt; &lt;a href=https://federallibrary.us/DOD/DODI/5100.76/CURRENT/TITLE.html&gt; DODI 5100.76&lt;/a&gt; &lt;/td&gt; &lt;td&gt; Safeguarding Sensitive Conventional Arms, Ammunition, and Explosives (AA&amp;E) &lt;/td&gt; &lt;/tr&gt;</v>
      </c>
    </row>
    <row r="517" spans="1:9" x14ac:dyDescent="0.25">
      <c r="A517">
        <v>5100</v>
      </c>
      <c r="B517" t="s">
        <v>1036</v>
      </c>
      <c r="C517" t="str">
        <f t="shared" si="24"/>
        <v>5100.92</v>
      </c>
      <c r="D517" t="s">
        <v>1157</v>
      </c>
      <c r="E517" s="2">
        <v>39944</v>
      </c>
      <c r="G517" t="s">
        <v>515</v>
      </c>
      <c r="H517" t="str">
        <f t="shared" si="25"/>
        <v>https://federallibrary.us/DOD/DODI/5100.92/CURRENT/TITLE.html</v>
      </c>
      <c r="I517" t="str">
        <f t="shared" si="26"/>
        <v>&lt;tr&gt; &lt;td&gt; &lt;a href=https://federallibrary.us/DOD/DODI/5100.92/CURRENT/TITLE.html&gt; DODI 5100.92&lt;/a&gt; &lt;/td&gt; &lt;td&gt; (U) Defense and National Leadership Command Capability (DNLCC) Governance &lt;/td&gt; &lt;/tr&gt;</v>
      </c>
    </row>
    <row r="518" spans="1:9" x14ac:dyDescent="0.25">
      <c r="A518">
        <v>5100</v>
      </c>
      <c r="B518" t="s">
        <v>1037</v>
      </c>
      <c r="C518" t="str">
        <f t="shared" si="24"/>
        <v>5100.93</v>
      </c>
      <c r="D518" t="s">
        <v>1157</v>
      </c>
      <c r="E518" s="2">
        <v>40403</v>
      </c>
      <c r="G518" t="s">
        <v>516</v>
      </c>
      <c r="H518" t="str">
        <f t="shared" si="25"/>
        <v>https://federallibrary.us/DOD/DODI/5100.93/CURRENT/TITLE.html</v>
      </c>
      <c r="I518" t="str">
        <f t="shared" si="26"/>
        <v>&lt;tr&gt; &lt;td&gt; &lt;a href=https://federallibrary.us/DOD/DODI/5100.93/CURRENT/TITLE.html&gt; DODI 5100.93&lt;/a&gt; &lt;/td&gt; &lt;td&gt; Defense Counterintelligence (CI) and Human Intelligence (HUMINT) Center (DCHC) &lt;/td&gt; &lt;/tr&gt;</v>
      </c>
    </row>
    <row r="519" spans="1:9" x14ac:dyDescent="0.25">
      <c r="A519">
        <v>5100</v>
      </c>
      <c r="B519" t="s">
        <v>1038</v>
      </c>
      <c r="C519" t="str">
        <f t="shared" si="24"/>
        <v>5100.94</v>
      </c>
      <c r="D519" t="s">
        <v>1157</v>
      </c>
      <c r="E519" s="2">
        <v>43924</v>
      </c>
      <c r="G519" t="s">
        <v>517</v>
      </c>
      <c r="H519" t="str">
        <f t="shared" si="25"/>
        <v>https://federallibrary.us/DOD/DODI/5100.94/CURRENT/TITLE.html</v>
      </c>
      <c r="I519" t="str">
        <f t="shared" si="26"/>
        <v>&lt;tr&gt; &lt;td&gt; &lt;a href=https://federallibrary.us/DOD/DODI/5100.94/CURRENT/TITLE.html&gt; DODI 5100.94&lt;/a&gt; &lt;/td&gt; &lt;td&gt; Oversight, Coordination, Assessment, and Reporting of DoD Intelligence and Intelligence-Related Sensitive Activities &lt;/td&gt; &lt;/tr&gt;</v>
      </c>
    </row>
    <row r="520" spans="1:9" x14ac:dyDescent="0.25">
      <c r="A520">
        <v>5100</v>
      </c>
      <c r="B520" t="s">
        <v>1039</v>
      </c>
      <c r="C520" t="str">
        <f t="shared" si="24"/>
        <v>5100.95</v>
      </c>
      <c r="D520" t="s">
        <v>1157</v>
      </c>
      <c r="E520" s="2">
        <v>43936</v>
      </c>
      <c r="G520" t="s">
        <v>518</v>
      </c>
      <c r="H520" t="str">
        <f t="shared" si="25"/>
        <v>https://federallibrary.us/DOD/DODI/5100.95/CURRENT/TITLE.html</v>
      </c>
      <c r="I520" t="str">
        <f t="shared" si="26"/>
        <v>&lt;tr&gt; &lt;td&gt; &lt;a href=https://federallibrary.us/DOD/DODI/5100.95/CURRENT/TITLE.html&gt; DODI 5100.95&lt;/a&gt; &lt;/td&gt; &lt;td&gt; Human Intelligence (HUMINT) Training-Joint Center of Excellence (HT-JCOE) &lt;/td&gt; &lt;/tr&gt;</v>
      </c>
    </row>
    <row r="521" spans="1:9" x14ac:dyDescent="0.25">
      <c r="A521" t="s">
        <v>1052</v>
      </c>
      <c r="B521" t="s">
        <v>849</v>
      </c>
      <c r="C521" t="str">
        <f t="shared" si="24"/>
        <v>5101.15</v>
      </c>
      <c r="D521" t="s">
        <v>1157</v>
      </c>
      <c r="E521" s="2">
        <v>45198</v>
      </c>
      <c r="G521" t="s">
        <v>519</v>
      </c>
      <c r="H521" t="str">
        <f t="shared" si="25"/>
        <v>https://federallibrary.us/DOD/DODI/5101.15/CURRENT/TITLE.html</v>
      </c>
      <c r="I521" t="str">
        <f t="shared" si="26"/>
        <v>&lt;tr&gt; &lt;td&gt; &lt;a href=https://federallibrary.us/DOD/DODI/5101.15/CURRENT/TITLE.html&gt; DODI 5101.15&lt;/a&gt; &lt;/td&gt; &lt;td&gt; DoD Medical Materiel Management  &lt;/td&gt; &lt;/tr&gt;</v>
      </c>
    </row>
    <row r="522" spans="1:9" x14ac:dyDescent="0.25">
      <c r="A522" t="s">
        <v>1053</v>
      </c>
      <c r="B522" t="s">
        <v>846</v>
      </c>
      <c r="C522" t="str">
        <f t="shared" si="24"/>
        <v>5105.04</v>
      </c>
      <c r="D522" t="s">
        <v>1157</v>
      </c>
      <c r="E522" s="2">
        <v>39300</v>
      </c>
      <c r="G522" t="s">
        <v>520</v>
      </c>
      <c r="H522" t="str">
        <f t="shared" si="25"/>
        <v>https://federallibrary.us/DOD/DODI/5105.04/CURRENT/TITLE.html</v>
      </c>
      <c r="I522" t="str">
        <f t="shared" si="26"/>
        <v>&lt;tr&gt; &lt;td&gt; &lt;a href=https://federallibrary.us/DOD/DODI/5105.04/CURRENT/TITLE.html&gt; DODI 5105.04&lt;/a&gt; &lt;/td&gt; &lt;td&gt; Department of Defense Federal Advisory Committee Management Program &lt;/td&gt; &lt;/tr&gt;</v>
      </c>
    </row>
    <row r="523" spans="1:9" x14ac:dyDescent="0.25">
      <c r="A523" t="s">
        <v>1053</v>
      </c>
      <c r="B523" t="s">
        <v>884</v>
      </c>
      <c r="C523" t="str">
        <f t="shared" si="24"/>
        <v>5105.18</v>
      </c>
      <c r="D523" t="s">
        <v>1157</v>
      </c>
      <c r="E523" s="2">
        <v>43563</v>
      </c>
      <c r="G523" t="s">
        <v>521</v>
      </c>
      <c r="H523" t="str">
        <f t="shared" si="25"/>
        <v>https://federallibrary.us/DOD/DODI/5105.18/CURRENT/TITLE.html</v>
      </c>
      <c r="I523" t="str">
        <f t="shared" si="26"/>
        <v>&lt;tr&gt; &lt;td&gt; &lt;a href=https://federallibrary.us/DOD/DODI/5105.18/CURRENT/TITLE.html&gt; DODI 5105.18&lt;/a&gt; &lt;/td&gt; &lt;td&gt; DoD Intergovernmental and Intragovernmental Committee Management Program &lt;/td&gt; &lt;/tr&gt;</v>
      </c>
    </row>
    <row r="524" spans="1:9" x14ac:dyDescent="0.25">
      <c r="A524">
        <v>5105</v>
      </c>
      <c r="B524" t="s">
        <v>856</v>
      </c>
      <c r="C524" t="str">
        <f t="shared" si="24"/>
        <v>5105.32</v>
      </c>
      <c r="D524" t="s">
        <v>1157</v>
      </c>
      <c r="E524" s="2">
        <v>44137</v>
      </c>
      <c r="G524" t="s">
        <v>522</v>
      </c>
      <c r="H524" t="str">
        <f t="shared" si="25"/>
        <v>https://federallibrary.us/DOD/DODI/5105.32/CURRENT/TITLE.html</v>
      </c>
      <c r="I524" t="str">
        <f t="shared" si="26"/>
        <v>&lt;tr&gt; &lt;td&gt; &lt;a href=https://federallibrary.us/DOD/DODI/5105.32/CURRENT/TITLE.html&gt; DODI 5105.32&lt;/a&gt; &lt;/td&gt; &lt;td&gt; (U) Defense Attach Service (DAS) &lt;/td&gt; &lt;/tr&gt;</v>
      </c>
    </row>
    <row r="525" spans="1:9" x14ac:dyDescent="0.25">
      <c r="A525" t="s">
        <v>1053</v>
      </c>
      <c r="B525" t="s">
        <v>914</v>
      </c>
      <c r="C525" t="str">
        <f t="shared" si="24"/>
        <v>5105.45</v>
      </c>
      <c r="D525" t="s">
        <v>1157</v>
      </c>
      <c r="E525" s="2">
        <v>44874</v>
      </c>
      <c r="G525" t="s">
        <v>523</v>
      </c>
      <c r="H525" t="str">
        <f t="shared" si="25"/>
        <v>https://federallibrary.us/DOD/DODI/5105.45/CURRENT/TITLE.html</v>
      </c>
      <c r="I525" t="str">
        <f t="shared" si="26"/>
        <v>&lt;tr&gt; &lt;td&gt; &lt;a href=https://federallibrary.us/DOD/DODI/5105.45/CURRENT/TITLE.html&gt; DODI 5105.45&lt;/a&gt; &lt;/td&gt; &lt;td&gt; Uniformed Services University of the Health Sciences &lt;/td&gt; &lt;/tr&gt;</v>
      </c>
    </row>
    <row r="526" spans="1:9" x14ac:dyDescent="0.25">
      <c r="A526" t="s">
        <v>1053</v>
      </c>
      <c r="B526" t="s">
        <v>984</v>
      </c>
      <c r="C526" t="str">
        <f t="shared" si="24"/>
        <v>5105.58</v>
      </c>
      <c r="D526" t="s">
        <v>1157</v>
      </c>
      <c r="E526" s="2">
        <v>44098</v>
      </c>
      <c r="G526" t="s">
        <v>524</v>
      </c>
      <c r="H526" t="str">
        <f t="shared" si="25"/>
        <v>https://federallibrary.us/DOD/DODI/5105.58/CURRENT/TITLE.html</v>
      </c>
      <c r="I526" t="str">
        <f t="shared" si="26"/>
        <v>&lt;tr&gt; &lt;td&gt; &lt;a href=https://federallibrary.us/DOD/DODI/5105.58/CURRENT/TITLE.html&gt; DODI 5105.58&lt;/a&gt; &lt;/td&gt; &lt;td&gt; Measurement and Signature Intelligence (MASINT) &lt;/td&gt; &lt;/tr&gt;</v>
      </c>
    </row>
    <row r="527" spans="1:9" x14ac:dyDescent="0.25">
      <c r="A527">
        <v>5105</v>
      </c>
      <c r="B527" t="s">
        <v>986</v>
      </c>
      <c r="C527" t="str">
        <f t="shared" si="24"/>
        <v>5105.63</v>
      </c>
      <c r="D527" t="s">
        <v>1157</v>
      </c>
      <c r="E527" s="2">
        <v>44130</v>
      </c>
      <c r="G527" t="s">
        <v>525</v>
      </c>
      <c r="H527" t="str">
        <f t="shared" si="25"/>
        <v>https://federallibrary.us/DOD/DODI/5105.63/CURRENT/TITLE.html</v>
      </c>
      <c r="I527" t="str">
        <f t="shared" si="26"/>
        <v>&lt;tr&gt; &lt;td&gt; &lt;a href=https://federallibrary.us/DOD/DODI/5105.63/CURRENT/TITLE.html&gt; DODI 5105.63&lt;/a&gt; &lt;/td&gt; &lt;td&gt; (U) Implementation of DoD Cover and Cover Support Activities &lt;/td&gt; &lt;/tr&gt;</v>
      </c>
    </row>
    <row r="528" spans="1:9" x14ac:dyDescent="0.25">
      <c r="A528">
        <v>5105</v>
      </c>
      <c r="B528" t="s">
        <v>1025</v>
      </c>
      <c r="C528" t="str">
        <f t="shared" si="24"/>
        <v>5105.81</v>
      </c>
      <c r="D528" t="s">
        <v>1157</v>
      </c>
      <c r="E528" s="2">
        <v>39758</v>
      </c>
      <c r="G528" t="s">
        <v>526</v>
      </c>
      <c r="H528" t="str">
        <f t="shared" si="25"/>
        <v>https://federallibrary.us/DOD/DODI/5105.81/CURRENT/TITLE.html</v>
      </c>
      <c r="I528" t="str">
        <f t="shared" si="26"/>
        <v>&lt;tr&gt; &lt;td&gt; &lt;a href=https://federallibrary.us/DOD/DODI/5105.81/CURRENT/TITLE.html&gt; DODI 5105.81&lt;/a&gt; &lt;/td&gt; &lt;td&gt; Implementing Instructions for DoD Operations At U.S. Embassies (U) &lt;/td&gt; &lt;/tr&gt;</v>
      </c>
    </row>
    <row r="529" spans="1:9" x14ac:dyDescent="0.25">
      <c r="A529">
        <v>5110</v>
      </c>
      <c r="B529" t="s">
        <v>847</v>
      </c>
      <c r="C529" t="str">
        <f t="shared" si="24"/>
        <v>5110.11</v>
      </c>
      <c r="D529" t="s">
        <v>1157</v>
      </c>
      <c r="E529" s="2">
        <v>40455</v>
      </c>
      <c r="G529" t="s">
        <v>527</v>
      </c>
      <c r="H529" t="str">
        <f t="shared" si="25"/>
        <v>https://federallibrary.us/DOD/DODI/5110.11/CURRENT/TITLE.html</v>
      </c>
      <c r="I529" t="str">
        <f t="shared" si="26"/>
        <v>&lt;tr&gt; &lt;td&gt; &lt;a href=https://federallibrary.us/DOD/DODI/5110.11/CURRENT/TITLE.html&gt; DODI 5110.11&lt;/a&gt; &lt;/td&gt; &lt;td&gt; Raven Rock Mountain Complex (RRMC) &lt;/td&gt; &lt;/tr&gt;</v>
      </c>
    </row>
    <row r="530" spans="1:9" x14ac:dyDescent="0.25">
      <c r="A530" t="s">
        <v>1054</v>
      </c>
      <c r="B530" t="s">
        <v>860</v>
      </c>
      <c r="C530" t="str">
        <f t="shared" si="24"/>
        <v>5111.16</v>
      </c>
      <c r="D530" t="s">
        <v>1157</v>
      </c>
      <c r="E530" s="2">
        <v>38652</v>
      </c>
      <c r="G530" t="s">
        <v>528</v>
      </c>
      <c r="H530" t="str">
        <f t="shared" si="25"/>
        <v>https://federallibrary.us/DOD/DODI/5111.16/CURRENT/TITLE.html</v>
      </c>
      <c r="I530" t="str">
        <f t="shared" si="26"/>
        <v>&lt;tr&gt; &lt;td&gt; &lt;a href=https://federallibrary.us/DOD/DODI/5111.16/CURRENT/TITLE.html&gt; DODI 5111.16&lt;/a&gt; &lt;/td&gt; &lt;td&gt; Policy and Strategy Committee &lt;/td&gt; &lt;/tr&gt;</v>
      </c>
    </row>
    <row r="531" spans="1:9" x14ac:dyDescent="0.25">
      <c r="A531" t="s">
        <v>1054</v>
      </c>
      <c r="B531" t="s">
        <v>893</v>
      </c>
      <c r="C531" t="str">
        <f t="shared" si="24"/>
        <v>5111.19</v>
      </c>
      <c r="D531" t="s">
        <v>1157</v>
      </c>
      <c r="E531" s="2">
        <v>42863</v>
      </c>
      <c r="G531" t="s">
        <v>529</v>
      </c>
      <c r="H531" t="str">
        <f t="shared" si="25"/>
        <v>https://federallibrary.us/DOD/DODI/5111.19/CURRENT/TITLE.html</v>
      </c>
      <c r="I531" t="str">
        <f t="shared" si="26"/>
        <v>&lt;tr&gt; &lt;td&gt; &lt;a href=https://federallibrary.us/DOD/DODI/5111.19/CURRENT/TITLE.html&gt; DODI 5111.19&lt;/a&gt; &lt;/td&gt; &lt;td&gt; Section 2282 Global Train-and-Equip Authority &lt;/td&gt; &lt;/tr&gt;</v>
      </c>
    </row>
    <row r="532" spans="1:9" x14ac:dyDescent="0.25">
      <c r="A532" t="s">
        <v>1054</v>
      </c>
      <c r="B532" t="s">
        <v>905</v>
      </c>
      <c r="C532" t="str">
        <f t="shared" si="24"/>
        <v>5111.20</v>
      </c>
      <c r="D532" t="s">
        <v>1157</v>
      </c>
      <c r="E532" s="2">
        <v>42655</v>
      </c>
      <c r="G532" t="s">
        <v>530</v>
      </c>
      <c r="H532" t="str">
        <f t="shared" si="25"/>
        <v>https://federallibrary.us/DOD/DODI/5111.20/CURRENT/TITLE.html</v>
      </c>
      <c r="I532" t="str">
        <f t="shared" si="26"/>
        <v>&lt;tr&gt; &lt;td&gt; &lt;a href=https://federallibrary.us/DOD/DODI/5111.20/CURRENT/TITLE.html&gt; DODI 5111.20&lt;/a&gt; &lt;/td&gt; &lt;td&gt; State Partnership Program (SPP) &lt;/td&gt; &lt;/tr&gt;</v>
      </c>
    </row>
    <row r="533" spans="1:9" x14ac:dyDescent="0.25">
      <c r="A533" t="s">
        <v>1055</v>
      </c>
      <c r="B533" t="s">
        <v>846</v>
      </c>
      <c r="C533" t="str">
        <f t="shared" si="24"/>
        <v>5120.04</v>
      </c>
      <c r="D533" t="s">
        <v>1157</v>
      </c>
      <c r="E533" s="2">
        <v>43059</v>
      </c>
      <c r="G533" t="s">
        <v>531</v>
      </c>
      <c r="H533" t="str">
        <f t="shared" si="25"/>
        <v>https://federallibrary.us/DOD/DODI/5120.04/CURRENT/TITLE.html</v>
      </c>
      <c r="I533" t="str">
        <f t="shared" si="26"/>
        <v>&lt;tr&gt; &lt;td&gt; &lt;a href=https://federallibrary.us/DOD/DODI/5120.04/CURRENT/TITLE.html&gt; DODI 5120.04&lt;/a&gt; &lt;/td&gt; &lt;td&gt; DoD Newspapers, Magazines, Guides, and Installation Maps &lt;/td&gt; &lt;/tr&gt;</v>
      </c>
    </row>
    <row r="534" spans="1:9" x14ac:dyDescent="0.25">
      <c r="A534" t="s">
        <v>1055</v>
      </c>
      <c r="B534" t="s">
        <v>865</v>
      </c>
      <c r="C534" t="str">
        <f t="shared" si="24"/>
        <v>5120.08</v>
      </c>
      <c r="D534" t="s">
        <v>1157</v>
      </c>
      <c r="E534" s="2">
        <v>45406</v>
      </c>
      <c r="G534" t="s">
        <v>532</v>
      </c>
      <c r="H534" t="str">
        <f t="shared" si="25"/>
        <v>https://federallibrary.us/DOD/DODI/5120.08/CURRENT/TITLE.html</v>
      </c>
      <c r="I534" t="str">
        <f t="shared" si="26"/>
        <v>&lt;tr&gt; &lt;td&gt; &lt;a href=https://federallibrary.us/DOD/DODI/5120.08/CURRENT/TITLE.html&gt; DODI 5120.08&lt;/a&gt; &lt;/td&gt; &lt;td&gt; Armed Forces Chaplains Board &lt;/td&gt; &lt;/tr&gt;</v>
      </c>
    </row>
    <row r="535" spans="1:9" x14ac:dyDescent="0.25">
      <c r="A535" t="s">
        <v>1055</v>
      </c>
      <c r="B535" t="s">
        <v>905</v>
      </c>
      <c r="C535" t="str">
        <f t="shared" si="24"/>
        <v>5120.20</v>
      </c>
      <c r="D535" t="s">
        <v>1157</v>
      </c>
      <c r="E535" s="2">
        <v>44944</v>
      </c>
      <c r="G535" t="s">
        <v>533</v>
      </c>
      <c r="H535" t="str">
        <f t="shared" si="25"/>
        <v>https://federallibrary.us/DOD/DODI/5120.20/CURRENT/TITLE.html</v>
      </c>
      <c r="I535" t="str">
        <f t="shared" si="26"/>
        <v>&lt;tr&gt; &lt;td&gt; &lt;a href=https://federallibrary.us/DOD/DODI/5120.20/CURRENT/TITLE.html&gt; DODI 5120.20&lt;/a&gt; &lt;/td&gt; &lt;td&gt; American Forces Network Program &lt;/td&gt; &lt;/tr&gt;</v>
      </c>
    </row>
    <row r="536" spans="1:9" x14ac:dyDescent="0.25">
      <c r="A536" t="s">
        <v>1055</v>
      </c>
      <c r="B536" t="s">
        <v>949</v>
      </c>
      <c r="C536" t="str">
        <f t="shared" si="24"/>
        <v>5120.39</v>
      </c>
      <c r="D536" t="s">
        <v>1157</v>
      </c>
      <c r="E536" s="2">
        <v>42942</v>
      </c>
      <c r="G536" t="s">
        <v>534</v>
      </c>
      <c r="H536" t="str">
        <f t="shared" si="25"/>
        <v>https://federallibrary.us/DOD/DODI/5120.39/CURRENT/TITLE.html</v>
      </c>
      <c r="I536" t="str">
        <f t="shared" si="26"/>
        <v>&lt;tr&gt; &lt;td&gt; &lt;a href=https://federallibrary.us/DOD/DODI/5120.39/CURRENT/TITLE.html&gt; DODI 5120.39&lt;/a&gt; &lt;/td&gt; &lt;td&gt; DoD Wage Fixing Authority-Appropriated Fund and Nonappropriated Fund Compensation Programs &lt;/td&gt; &lt;/tr&gt;</v>
      </c>
    </row>
    <row r="537" spans="1:9" x14ac:dyDescent="0.25">
      <c r="A537" t="s">
        <v>1056</v>
      </c>
      <c r="B537" t="s">
        <v>865</v>
      </c>
      <c r="C537" t="str">
        <f t="shared" si="24"/>
        <v>5122.08</v>
      </c>
      <c r="D537" t="s">
        <v>1157</v>
      </c>
      <c r="E537" s="2">
        <v>43056</v>
      </c>
      <c r="G537" t="s">
        <v>535</v>
      </c>
      <c r="H537" t="str">
        <f t="shared" si="25"/>
        <v>https://federallibrary.us/DOD/DODI/5122.08/CURRENT/TITLE.html</v>
      </c>
      <c r="I537" t="str">
        <f t="shared" si="26"/>
        <v>&lt;tr&gt; &lt;td&gt; &lt;a href=https://federallibrary.us/DOD/DODI/5122.08/CURRENT/TITLE.html&gt; DODI 5122.08&lt;/a&gt; &lt;/td&gt; &lt;td&gt; Use of DoD Transportation Assets for Public Affairs Purposes &lt;/td&gt; &lt;/tr&gt;</v>
      </c>
    </row>
    <row r="538" spans="1:9" x14ac:dyDescent="0.25">
      <c r="A538" t="s">
        <v>1057</v>
      </c>
      <c r="B538" t="s">
        <v>951</v>
      </c>
      <c r="C538" t="str">
        <f t="shared" si="24"/>
        <v>5129.47</v>
      </c>
      <c r="D538" t="s">
        <v>1157</v>
      </c>
      <c r="E538" s="2">
        <v>42030</v>
      </c>
      <c r="G538" t="s">
        <v>536</v>
      </c>
      <c r="H538" t="str">
        <f t="shared" si="25"/>
        <v>https://federallibrary.us/DOD/DODI/5129.47/CURRENT/TITLE.html</v>
      </c>
      <c r="I538" t="str">
        <f t="shared" si="26"/>
        <v>&lt;tr&gt; &lt;td&gt; &lt;a href=https://federallibrary.us/DOD/DODI/5129.47/CURRENT/TITLE.html&gt; DODI 5129.47&lt;/a&gt; &lt;/td&gt; &lt;td&gt; Center for Countermeasures &lt;/td&gt; &lt;/tr&gt;</v>
      </c>
    </row>
    <row r="539" spans="1:9" x14ac:dyDescent="0.25">
      <c r="A539" t="s">
        <v>1058</v>
      </c>
      <c r="B539" t="s">
        <v>848</v>
      </c>
      <c r="C539" t="str">
        <f t="shared" si="24"/>
        <v>5132.13</v>
      </c>
      <c r="D539" t="s">
        <v>1157</v>
      </c>
      <c r="E539" s="2">
        <v>42892</v>
      </c>
      <c r="G539" t="s">
        <v>537</v>
      </c>
      <c r="H539" t="str">
        <f t="shared" si="25"/>
        <v>https://federallibrary.us/DOD/DODI/5132.13/CURRENT/TITLE.html</v>
      </c>
      <c r="I539" t="str">
        <f t="shared" si="26"/>
        <v>&lt;tr&gt; &lt;td&gt; &lt;a href=https://federallibrary.us/DOD/DODI/5132.13/CURRENT/TITLE.html&gt; DODI 5132.13&lt;/a&gt; &lt;/td&gt; &lt;td&gt; Staffing of Security Cooperation Organizations (SCOs) and the Selection and Training of Security Cooperation Personnel &lt;/td&gt; &lt;/tr&gt;</v>
      </c>
    </row>
    <row r="540" spans="1:9" x14ac:dyDescent="0.25">
      <c r="A540" t="s">
        <v>1058</v>
      </c>
      <c r="B540" t="s">
        <v>859</v>
      </c>
      <c r="C540" t="str">
        <f t="shared" si="24"/>
        <v>5132.14</v>
      </c>
      <c r="D540" t="s">
        <v>1157</v>
      </c>
      <c r="E540" s="2">
        <v>42748</v>
      </c>
      <c r="G540" t="s">
        <v>538</v>
      </c>
      <c r="H540" t="str">
        <f t="shared" si="25"/>
        <v>https://federallibrary.us/DOD/DODI/5132.14/CURRENT/TITLE.html</v>
      </c>
      <c r="I540" t="str">
        <f t="shared" si="26"/>
        <v>&lt;tr&gt; &lt;td&gt; &lt;a href=https://federallibrary.us/DOD/DODI/5132.14/CURRENT/TITLE.html&gt; DODI 5132.14&lt;/a&gt; &lt;/td&gt; &lt;td&gt; Assessment, Monitoring, and Evaluation Policy for the Security Cooperation Enterprise &lt;/td&gt; &lt;/tr&gt;</v>
      </c>
    </row>
    <row r="541" spans="1:9" x14ac:dyDescent="0.25">
      <c r="A541" t="s">
        <v>1058</v>
      </c>
      <c r="B541" t="s">
        <v>849</v>
      </c>
      <c r="C541" t="str">
        <f t="shared" si="24"/>
        <v>5132.15</v>
      </c>
      <c r="D541" t="s">
        <v>1157</v>
      </c>
      <c r="E541" s="2">
        <v>44323</v>
      </c>
      <c r="G541" t="s">
        <v>539</v>
      </c>
      <c r="H541" t="str">
        <f t="shared" si="25"/>
        <v>https://federallibrary.us/DOD/DODI/5132.15/CURRENT/TITLE.html</v>
      </c>
      <c r="I541" t="str">
        <f t="shared" si="26"/>
        <v>&lt;tr&gt; &lt;td&gt; &lt;a href=https://federallibrary.us/DOD/DODI/5132.15/CURRENT/TITLE.html&gt; DODI 5132.15&lt;/a&gt; &lt;/td&gt; &lt;td&gt; Implementation of the Security Cooperation Workforce Certification Program &lt;/td&gt; &lt;/tr&gt;</v>
      </c>
    </row>
    <row r="542" spans="1:9" x14ac:dyDescent="0.25">
      <c r="A542" t="s">
        <v>1059</v>
      </c>
      <c r="B542" t="s">
        <v>846</v>
      </c>
      <c r="C542" t="str">
        <f t="shared" si="24"/>
        <v>5134.04</v>
      </c>
      <c r="D542" t="s">
        <v>1157</v>
      </c>
      <c r="E542" s="2">
        <v>44662</v>
      </c>
      <c r="G542" t="s">
        <v>540</v>
      </c>
      <c r="H542" t="str">
        <f t="shared" si="25"/>
        <v>https://federallibrary.us/DOD/DODI/5134.04/CURRENT/TITLE.html</v>
      </c>
      <c r="I542" t="str">
        <f t="shared" si="26"/>
        <v>&lt;tr&gt; &lt;td&gt; &lt;a href=https://federallibrary.us/DOD/DODI/5134.04/CURRENT/TITLE.html&gt; DODI 5134.04&lt;/a&gt; &lt;/td&gt; &lt;td&gt; Director of Small Business Programs &lt;/td&gt; &lt;/tr&gt;</v>
      </c>
    </row>
    <row r="543" spans="1:9" x14ac:dyDescent="0.25">
      <c r="A543" t="s">
        <v>1060</v>
      </c>
      <c r="B543" t="s">
        <v>867</v>
      </c>
      <c r="C543" t="str">
        <f t="shared" si="24"/>
        <v>5145.03</v>
      </c>
      <c r="D543" t="s">
        <v>1157</v>
      </c>
      <c r="E543" s="2">
        <v>44001</v>
      </c>
      <c r="G543" t="s">
        <v>541</v>
      </c>
      <c r="H543" t="str">
        <f t="shared" si="25"/>
        <v>https://federallibrary.us/DOD/DODI/5145.03/CURRENT/TITLE.html</v>
      </c>
      <c r="I543" t="str">
        <f t="shared" si="26"/>
        <v>&lt;tr&gt; &lt;td&gt; &lt;a href=https://federallibrary.us/DOD/DODI/5145.03/CURRENT/TITLE.html&gt; DODI 5145.03&lt;/a&gt; &lt;/td&gt; &lt;td&gt; Oversight of the DoD Personnel Security Programs &lt;/td&gt; &lt;/tr&gt;</v>
      </c>
    </row>
    <row r="544" spans="1:9" x14ac:dyDescent="0.25">
      <c r="A544" t="s">
        <v>1060</v>
      </c>
      <c r="B544" t="s">
        <v>868</v>
      </c>
      <c r="C544" t="str">
        <f t="shared" si="24"/>
        <v>5145.05</v>
      </c>
      <c r="D544" t="s">
        <v>1157</v>
      </c>
      <c r="E544" s="2">
        <v>42517</v>
      </c>
      <c r="G544" t="s">
        <v>542</v>
      </c>
      <c r="H544" t="str">
        <f t="shared" si="25"/>
        <v>https://federallibrary.us/DOD/DODI/5145.05/CURRENT/TITLE.html</v>
      </c>
      <c r="I544" t="str">
        <f t="shared" si="26"/>
        <v>&lt;tr&gt; &lt;td&gt; &lt;a href=https://federallibrary.us/DOD/DODI/5145.05/CURRENT/TITLE.html&gt; DODI 5145.05&lt;/a&gt; &lt;/td&gt; &lt;td&gt; Alternative Dispute Resolution (ADR) and Conflict Management &lt;/td&gt; &lt;/tr&gt;</v>
      </c>
    </row>
    <row r="545" spans="1:9" x14ac:dyDescent="0.25">
      <c r="A545" t="s">
        <v>1061</v>
      </c>
      <c r="B545" t="s">
        <v>854</v>
      </c>
      <c r="C545" t="str">
        <f t="shared" si="24"/>
        <v>5154.30</v>
      </c>
      <c r="D545" t="s">
        <v>1157</v>
      </c>
      <c r="E545" s="2">
        <v>43090</v>
      </c>
      <c r="G545" t="s">
        <v>543</v>
      </c>
      <c r="H545" t="str">
        <f t="shared" si="25"/>
        <v>https://federallibrary.us/DOD/DODI/5154.30/CURRENT/TITLE.html</v>
      </c>
      <c r="I545" t="str">
        <f t="shared" si="26"/>
        <v>&lt;tr&gt; &lt;td&gt; &lt;a href=https://federallibrary.us/DOD/DODI/5154.30/CURRENT/TITLE.html&gt; DODI 5154.30&lt;/a&gt; &lt;/td&gt; &lt;td&gt; Armed Forces Medical Examiner System (AFMES) Operations &lt;/td&gt; &lt;/tr&gt;</v>
      </c>
    </row>
    <row r="546" spans="1:9" x14ac:dyDescent="0.25">
      <c r="A546" t="s">
        <v>1061</v>
      </c>
      <c r="B546" t="s">
        <v>1147</v>
      </c>
      <c r="C546" t="str">
        <f t="shared" si="24"/>
        <v>5154.31VOL1</v>
      </c>
      <c r="D546" t="s">
        <v>1157</v>
      </c>
      <c r="E546" s="2">
        <v>42293</v>
      </c>
      <c r="G546" t="s">
        <v>544</v>
      </c>
      <c r="H546" t="str">
        <f t="shared" si="25"/>
        <v>https://federallibrary.us/DOD/DODI/5154.31VOL1/CURRENT/TITLE.html</v>
      </c>
      <c r="I546" t="str">
        <f t="shared" si="26"/>
        <v>&lt;tr&gt; &lt;td&gt; &lt;a href=https://federallibrary.us/DOD/DODI/5154.31VOL1/CURRENT/TITLE.html&gt; DODI 5154.31VOL1&lt;/a&gt; &lt;/td&gt; &lt;td&gt; Commercial Travel Management: Defense Travel Management Office &lt;/td&gt; &lt;/tr&gt;</v>
      </c>
    </row>
    <row r="547" spans="1:9" x14ac:dyDescent="0.25">
      <c r="A547" t="s">
        <v>1061</v>
      </c>
      <c r="B547" t="s">
        <v>1148</v>
      </c>
      <c r="C547" t="str">
        <f t="shared" si="24"/>
        <v>5154.31VOL2</v>
      </c>
      <c r="D547" t="s">
        <v>1157</v>
      </c>
      <c r="E547" s="2">
        <v>42293</v>
      </c>
      <c r="G547" t="s">
        <v>545</v>
      </c>
      <c r="H547" t="str">
        <f t="shared" si="25"/>
        <v>https://federallibrary.us/DOD/DODI/5154.31VOL2/CURRENT/TITLE.html</v>
      </c>
      <c r="I547" t="str">
        <f t="shared" si="26"/>
        <v>&lt;tr&gt; &lt;td&gt; &lt;a href=https://federallibrary.us/DOD/DODI/5154.31VOL2/CURRENT/TITLE.html&gt; DODI 5154.31VOL2&lt;/a&gt; &lt;/td&gt; &lt;td&gt; Commercial Travel Management: General Travel Provisions &lt;/td&gt; &lt;/tr&gt;</v>
      </c>
    </row>
    <row r="548" spans="1:9" x14ac:dyDescent="0.25">
      <c r="A548" t="s">
        <v>1061</v>
      </c>
      <c r="B548" t="s">
        <v>1149</v>
      </c>
      <c r="C548" t="str">
        <f t="shared" si="24"/>
        <v>5154.31VOL3</v>
      </c>
      <c r="D548" t="s">
        <v>1157</v>
      </c>
      <c r="E548" s="2">
        <v>42293</v>
      </c>
      <c r="G548" t="s">
        <v>546</v>
      </c>
      <c r="H548" t="str">
        <f t="shared" si="25"/>
        <v>https://federallibrary.us/DOD/DODI/5154.31VOL3/CURRENT/TITLE.html</v>
      </c>
      <c r="I548" t="str">
        <f t="shared" si="26"/>
        <v>&lt;tr&gt; &lt;td&gt; &lt;a href=https://federallibrary.us/DOD/DODI/5154.31VOL3/CURRENT/TITLE.html&gt; DODI 5154.31VOL3&lt;/a&gt; &lt;/td&gt; &lt;td&gt; Commercial Travel Management: Defense Travel System (DTS) &lt;/td&gt; &lt;/tr&gt;</v>
      </c>
    </row>
    <row r="549" spans="1:9" x14ac:dyDescent="0.25">
      <c r="A549" t="s">
        <v>1061</v>
      </c>
      <c r="B549" t="s">
        <v>1150</v>
      </c>
      <c r="C549" t="str">
        <f t="shared" si="24"/>
        <v>5154.31VOL4</v>
      </c>
      <c r="D549" t="s">
        <v>1157</v>
      </c>
      <c r="E549" s="2">
        <v>42293</v>
      </c>
      <c r="G549" t="s">
        <v>547</v>
      </c>
      <c r="H549" t="str">
        <f t="shared" si="25"/>
        <v>https://federallibrary.us/DOD/DODI/5154.31VOL4/CURRENT/TITLE.html</v>
      </c>
      <c r="I549" t="str">
        <f t="shared" si="26"/>
        <v>&lt;tr&gt; &lt;td&gt; &lt;a href=https://federallibrary.us/DOD/DODI/5154.31VOL4/CURRENT/TITLE.html&gt; DODI 5154.31VOL4&lt;/a&gt; &lt;/td&gt; &lt;td&gt; Commercial Travel Management: DoD Government Travel Charge Card (GTCC) Program &lt;/td&gt; &lt;/tr&gt;</v>
      </c>
    </row>
    <row r="550" spans="1:9" x14ac:dyDescent="0.25">
      <c r="A550" t="s">
        <v>1061</v>
      </c>
      <c r="B550" t="s">
        <v>1151</v>
      </c>
      <c r="C550" t="str">
        <f t="shared" si="24"/>
        <v>5154.31VOL5</v>
      </c>
      <c r="D550" t="s">
        <v>1157</v>
      </c>
      <c r="E550" s="2">
        <v>42293</v>
      </c>
      <c r="G550" t="s">
        <v>548</v>
      </c>
      <c r="H550" t="str">
        <f t="shared" si="25"/>
        <v>https://federallibrary.us/DOD/DODI/5154.31VOL5/CURRENT/TITLE.html</v>
      </c>
      <c r="I550" t="str">
        <f t="shared" si="26"/>
        <v>&lt;tr&gt; &lt;td&gt; &lt;a href=https://federallibrary.us/DOD/DODI/5154.31VOL5/CURRENT/TITLE.html&gt; DODI 5154.31VOL5&lt;/a&gt; &lt;/td&gt; &lt;td&gt; Commercial Travel Management: The Per Diem, Travel and Transportation Allowance Committee (PDTATAC) &lt;/td&gt; &lt;/tr&gt;</v>
      </c>
    </row>
    <row r="551" spans="1:9" x14ac:dyDescent="0.25">
      <c r="A551" t="s">
        <v>1061</v>
      </c>
      <c r="B551" t="s">
        <v>1152</v>
      </c>
      <c r="C551" t="str">
        <f t="shared" si="24"/>
        <v>5154.31VOL6</v>
      </c>
      <c r="D551" t="s">
        <v>1157</v>
      </c>
      <c r="E551" s="2">
        <v>42293</v>
      </c>
      <c r="G551" t="s">
        <v>549</v>
      </c>
      <c r="H551" t="str">
        <f t="shared" si="25"/>
        <v>https://federallibrary.us/DOD/DODI/5154.31VOL6/CURRENT/TITLE.html</v>
      </c>
      <c r="I551" t="str">
        <f t="shared" si="26"/>
        <v>&lt;tr&gt; &lt;td&gt; &lt;a href=https://federallibrary.us/DOD/DODI/5154.31VOL6/CURRENT/TITLE.html&gt; DODI 5154.31VOL6&lt;/a&gt; &lt;/td&gt; &lt;td&gt; Commercial Travel Management: Uniformed Services Housing and Station Allowances &lt;/td&gt; &lt;/tr&gt;</v>
      </c>
    </row>
    <row r="552" spans="1:9" x14ac:dyDescent="0.25">
      <c r="A552" t="s">
        <v>1062</v>
      </c>
      <c r="B552" t="s">
        <v>858</v>
      </c>
      <c r="C552" t="str">
        <f t="shared" si="24"/>
        <v>5158.06</v>
      </c>
      <c r="D552" t="s">
        <v>1157</v>
      </c>
      <c r="E552" s="2">
        <v>43928</v>
      </c>
      <c r="G552" t="s">
        <v>550</v>
      </c>
      <c r="H552" t="str">
        <f t="shared" si="25"/>
        <v>https://federallibrary.us/DOD/DODI/5158.06/CURRENT/TITLE.html</v>
      </c>
      <c r="I552" t="str">
        <f t="shared" si="26"/>
        <v>&lt;tr&gt; &lt;td&gt; &lt;a href=https://federallibrary.us/DOD/DODI/5158.06/CURRENT/TITLE.html&gt; DODI 5158.06&lt;/a&gt; &lt;/td&gt; &lt;td&gt; Joint Deployment and Distribution Enterprise (JDDE) Planning and Operations &lt;/td&gt; &lt;/tr&gt;</v>
      </c>
    </row>
    <row r="553" spans="1:9" x14ac:dyDescent="0.25">
      <c r="A553" t="s">
        <v>1063</v>
      </c>
      <c r="B553" t="s">
        <v>878</v>
      </c>
      <c r="C553" t="str">
        <f t="shared" si="24"/>
        <v>5160.24</v>
      </c>
      <c r="D553" t="s">
        <v>1157</v>
      </c>
      <c r="E553" s="2">
        <v>39210</v>
      </c>
      <c r="G553" t="s">
        <v>551</v>
      </c>
      <c r="H553" t="str">
        <f t="shared" si="25"/>
        <v>https://federallibrary.us/DOD/DODI/5160.24/CURRENT/TITLE.html</v>
      </c>
      <c r="I553" t="str">
        <f t="shared" si="26"/>
        <v>&lt;tr&gt; &lt;td&gt; &lt;a href=https://federallibrary.us/DOD/DODI/5160.24/CURRENT/TITLE.html&gt; DODI 5160.24&lt;/a&gt; &lt;/td&gt; &lt;td&gt; Delegation of Powers to the Secretaries of the Military Departments to Make Determinations Under the Social Security Act and Federal Insurance Contributions Act &lt;/td&gt; &lt;/tr&gt;</v>
      </c>
    </row>
    <row r="554" spans="1:9" x14ac:dyDescent="0.25">
      <c r="A554" t="s">
        <v>1063</v>
      </c>
      <c r="B554" t="s">
        <v>952</v>
      </c>
      <c r="C554" t="str">
        <f t="shared" si="24"/>
        <v>5160.48</v>
      </c>
      <c r="D554" t="s">
        <v>1157</v>
      </c>
      <c r="E554" s="2">
        <v>43059</v>
      </c>
      <c r="G554" t="s">
        <v>552</v>
      </c>
      <c r="H554" t="str">
        <f t="shared" si="25"/>
        <v>https://federallibrary.us/DOD/DODI/5160.48/CURRENT/TITLE.html</v>
      </c>
      <c r="I554" t="str">
        <f t="shared" si="26"/>
        <v>&lt;tr&gt; &lt;td&gt; &lt;a href=https://federallibrary.us/DOD/DODI/5160.48/CURRENT/TITLE.html&gt; DODI 5160.48&lt;/a&gt; &lt;/td&gt; &lt;td&gt; DoD Public Affairs and Visual Information (PA&amp;VI) Education and Training (E&amp;T) &lt;/td&gt; &lt;/tr&gt;</v>
      </c>
    </row>
    <row r="555" spans="1:9" x14ac:dyDescent="0.25">
      <c r="A555" t="s">
        <v>1063</v>
      </c>
      <c r="B555" t="s">
        <v>1000</v>
      </c>
      <c r="C555" t="str">
        <f t="shared" si="24"/>
        <v>5160.68</v>
      </c>
      <c r="D555" t="s">
        <v>1157</v>
      </c>
      <c r="E555" s="2">
        <v>44635</v>
      </c>
      <c r="G555" t="s">
        <v>553</v>
      </c>
      <c r="H555" t="str">
        <f t="shared" si="25"/>
        <v>https://federallibrary.us/DOD/DODI/5160.68/CURRENT/TITLE.html</v>
      </c>
      <c r="I555" t="str">
        <f t="shared" si="26"/>
        <v>&lt;tr&gt; &lt;td&gt; &lt;a href=https://federallibrary.us/DOD/DODI/5160.68/CURRENT/TITLE.html&gt; DODI 5160.68&lt;/a&gt; &lt;/td&gt; &lt;td&gt; Single Manager for Conventional Ammunition &lt;/td&gt; &lt;/tr&gt;</v>
      </c>
    </row>
    <row r="556" spans="1:9" x14ac:dyDescent="0.25">
      <c r="A556" t="s">
        <v>1063</v>
      </c>
      <c r="B556" t="s">
        <v>980</v>
      </c>
      <c r="C556" t="str">
        <f t="shared" si="24"/>
        <v>5160.70</v>
      </c>
      <c r="D556" t="s">
        <v>1157</v>
      </c>
      <c r="E556" s="2">
        <v>42734</v>
      </c>
      <c r="G556" t="s">
        <v>554</v>
      </c>
      <c r="H556" t="str">
        <f t="shared" si="25"/>
        <v>https://federallibrary.us/DOD/DODI/5160.70/CURRENT/TITLE.html</v>
      </c>
      <c r="I556" t="str">
        <f t="shared" si="26"/>
        <v>&lt;tr&gt; &lt;td&gt; &lt;a href=https://federallibrary.us/DOD/DODI/5160.70/CURRENT/TITLE.html&gt; DODI 5160.70&lt;/a&gt; &lt;/td&gt; &lt;td&gt; Management of the Defense Language, Regional Expertise, and Culture (LREC) Program &lt;/td&gt; &lt;/tr&gt;</v>
      </c>
    </row>
    <row r="557" spans="1:9" x14ac:dyDescent="0.25">
      <c r="A557" t="s">
        <v>1063</v>
      </c>
      <c r="B557" t="s">
        <v>989</v>
      </c>
      <c r="C557" t="str">
        <f t="shared" si="24"/>
        <v>5160.71</v>
      </c>
      <c r="D557" t="s">
        <v>1157</v>
      </c>
      <c r="E557" s="2">
        <v>44742</v>
      </c>
      <c r="G557" t="s">
        <v>555</v>
      </c>
      <c r="H557" t="str">
        <f t="shared" si="25"/>
        <v>https://federallibrary.us/DOD/DODI/5160.71/CURRENT/TITLE.html</v>
      </c>
      <c r="I557" t="str">
        <f t="shared" si="26"/>
        <v>&lt;tr&gt; &lt;td&gt; &lt;a href=https://federallibrary.us/DOD/DODI/5160.71/CURRENT/TITLE.html&gt; DODI 5160.71&lt;/a&gt; &lt;/td&gt; &lt;td&gt; DoD Language Testing Program &lt;/td&gt; &lt;/tr&gt;</v>
      </c>
    </row>
    <row r="558" spans="1:9" x14ac:dyDescent="0.25">
      <c r="A558" t="s">
        <v>1064</v>
      </c>
      <c r="B558" t="s">
        <v>845</v>
      </c>
      <c r="C558" t="str">
        <f t="shared" si="24"/>
        <v>5200.01</v>
      </c>
      <c r="D558" t="s">
        <v>1157</v>
      </c>
      <c r="E558" s="2">
        <v>44105</v>
      </c>
      <c r="G558" t="s">
        <v>556</v>
      </c>
      <c r="H558" t="str">
        <f t="shared" si="25"/>
        <v>https://federallibrary.us/DOD/DODI/5200.01/CURRENT/TITLE.html</v>
      </c>
      <c r="I558" t="str">
        <f t="shared" si="26"/>
        <v>&lt;tr&gt; &lt;td&gt; &lt;a href=https://federallibrary.us/DOD/DODI/5200.01/CURRENT/TITLE.html&gt; DODI 5200.01&lt;/a&gt; &lt;/td&gt; &lt;td&gt; DoD Information Security Program and Protection of Sensitive Compartmented Information (SCI) &lt;/td&gt; &lt;/tr&gt;</v>
      </c>
    </row>
    <row r="559" spans="1:9" x14ac:dyDescent="0.25">
      <c r="A559" t="s">
        <v>1064</v>
      </c>
      <c r="B559" t="s">
        <v>870</v>
      </c>
      <c r="C559" t="str">
        <f t="shared" si="24"/>
        <v>5200.02</v>
      </c>
      <c r="D559" t="s">
        <v>1157</v>
      </c>
      <c r="E559" s="2">
        <v>44098</v>
      </c>
      <c r="G559" t="s">
        <v>557</v>
      </c>
      <c r="H559" t="str">
        <f t="shared" si="25"/>
        <v>https://federallibrary.us/DOD/DODI/5200.02/CURRENT/TITLE.html</v>
      </c>
      <c r="I559" t="str">
        <f t="shared" si="26"/>
        <v>&lt;tr&gt; &lt;td&gt; &lt;a href=https://federallibrary.us/DOD/DODI/5200.02/CURRENT/TITLE.html&gt; DODI 5200.02&lt;/a&gt; &lt;/td&gt; &lt;td&gt; DoD Personnel Security Program (PSP) &lt;/td&gt; &lt;/tr&gt;</v>
      </c>
    </row>
    <row r="560" spans="1:9" x14ac:dyDescent="0.25">
      <c r="A560" t="s">
        <v>1064</v>
      </c>
      <c r="B560" t="s">
        <v>865</v>
      </c>
      <c r="C560" t="str">
        <f t="shared" si="24"/>
        <v>5200.08</v>
      </c>
      <c r="D560" t="s">
        <v>1157</v>
      </c>
      <c r="E560" s="2">
        <v>42328</v>
      </c>
      <c r="G560" t="s">
        <v>558</v>
      </c>
      <c r="H560" t="str">
        <f t="shared" si="25"/>
        <v>https://federallibrary.us/DOD/DODI/5200.08/CURRENT/TITLE.html</v>
      </c>
      <c r="I560" t="str">
        <f t="shared" si="26"/>
        <v>&lt;tr&gt; &lt;td&gt; &lt;a href=https://federallibrary.us/DOD/DODI/5200.08/CURRENT/TITLE.html&gt; DODI 5200.08&lt;/a&gt; &lt;/td&gt; &lt;td&gt; Security of DoD Installations and Resources and the DoD Physical Security Review Board (PSRB) &lt;/td&gt; &lt;/tr&gt;</v>
      </c>
    </row>
    <row r="561" spans="1:9" x14ac:dyDescent="0.25">
      <c r="A561">
        <v>5200</v>
      </c>
      <c r="B561" t="s">
        <v>860</v>
      </c>
      <c r="C561" t="str">
        <f t="shared" si="24"/>
        <v>5200.16</v>
      </c>
      <c r="D561" t="s">
        <v>1157</v>
      </c>
      <c r="E561" s="2">
        <v>43735</v>
      </c>
      <c r="G561" t="s">
        <v>559</v>
      </c>
      <c r="H561" t="str">
        <f t="shared" si="25"/>
        <v>https://federallibrary.us/DOD/DODI/5200.16/CURRENT/TITLE.html</v>
      </c>
      <c r="I561" t="str">
        <f t="shared" si="26"/>
        <v>&lt;tr&gt; &lt;td&gt; &lt;a href=https://federallibrary.us/DOD/DODI/5200.16/CURRENT/TITLE.html&gt; DODI 5200.16&lt;/a&gt; &lt;/td&gt; &lt;td&gt; (U) Objectives and Minimum Standards for Communications Security (COMSEC) Measures Used in Nuclear Command and Control (NC2) Communications &lt;/td&gt; &lt;/tr&gt;</v>
      </c>
    </row>
    <row r="562" spans="1:9" x14ac:dyDescent="0.25">
      <c r="A562" t="s">
        <v>1064</v>
      </c>
      <c r="B562" t="s">
        <v>897</v>
      </c>
      <c r="C562" t="str">
        <f t="shared" si="24"/>
        <v>5200.33</v>
      </c>
      <c r="D562" t="s">
        <v>1157</v>
      </c>
      <c r="E562" s="2">
        <v>43059</v>
      </c>
      <c r="G562" t="s">
        <v>560</v>
      </c>
      <c r="H562" t="str">
        <f t="shared" si="25"/>
        <v>https://federallibrary.us/DOD/DODI/5200.33/CURRENT/TITLE.html</v>
      </c>
      <c r="I562" t="str">
        <f t="shared" si="26"/>
        <v>&lt;tr&gt; &lt;td&gt; &lt;a href=https://federallibrary.us/DOD/DODI/5200.33/CURRENT/TITLE.html&gt; DODI 5200.33&lt;/a&gt; &lt;/td&gt; &lt;td&gt; Defense Courier Operations (DCO) &lt;/td&gt; &lt;/tr&gt;</v>
      </c>
    </row>
    <row r="563" spans="1:9" x14ac:dyDescent="0.25">
      <c r="A563" t="s">
        <v>1064</v>
      </c>
      <c r="B563" t="s">
        <v>949</v>
      </c>
      <c r="C563" t="str">
        <f t="shared" si="24"/>
        <v>5200.39</v>
      </c>
      <c r="D563" t="s">
        <v>1157</v>
      </c>
      <c r="E563" s="2">
        <v>44105</v>
      </c>
      <c r="G563" t="s">
        <v>561</v>
      </c>
      <c r="H563" t="str">
        <f t="shared" si="25"/>
        <v>https://federallibrary.us/DOD/DODI/5200.39/CURRENT/TITLE.html</v>
      </c>
      <c r="I563" t="str">
        <f t="shared" si="26"/>
        <v>&lt;tr&gt; &lt;td&gt; &lt;a href=https://federallibrary.us/DOD/DODI/5200.39/CURRENT/TITLE.html&gt; DODI 5200.39&lt;/a&gt; &lt;/td&gt; &lt;td&gt; Critical Program Information (CPI) Identification and Protection Within Research, Development, Test, and Evaluation (RDT&amp;E) &lt;/td&gt; &lt;/tr&gt;</v>
      </c>
    </row>
    <row r="564" spans="1:9" x14ac:dyDescent="0.25">
      <c r="A564">
        <v>5200</v>
      </c>
      <c r="B564" t="s">
        <v>912</v>
      </c>
      <c r="C564" t="str">
        <f t="shared" si="24"/>
        <v>5200.42</v>
      </c>
      <c r="D564" t="s">
        <v>1157</v>
      </c>
      <c r="E564" s="2">
        <v>44137</v>
      </c>
      <c r="G564" t="s">
        <v>562</v>
      </c>
      <c r="H564" t="str">
        <f t="shared" si="25"/>
        <v>https://federallibrary.us/DOD/DODI/5200.42/CURRENT/TITLE.html</v>
      </c>
      <c r="I564" t="str">
        <f t="shared" si="26"/>
        <v>&lt;tr&gt; &lt;td&gt; &lt;a href=https://federallibrary.us/DOD/DODI/5200.42/CURRENT/TITLE.html&gt; DODI 5200.42&lt;/a&gt; &lt;/td&gt; &lt;td&gt; Defense Human Intelligence (HUMINT) and Related Intelligence Activities (U) &lt;/td&gt; &lt;/tr&gt;</v>
      </c>
    </row>
    <row r="565" spans="1:9" x14ac:dyDescent="0.25">
      <c r="A565" t="s">
        <v>1064</v>
      </c>
      <c r="B565" t="s">
        <v>1043</v>
      </c>
      <c r="C565" t="str">
        <f t="shared" si="24"/>
        <v>5200.44</v>
      </c>
      <c r="D565" t="s">
        <v>1157</v>
      </c>
      <c r="E565" s="2">
        <v>45338</v>
      </c>
      <c r="G565" t="s">
        <v>563</v>
      </c>
      <c r="H565" t="str">
        <f t="shared" si="25"/>
        <v>https://federallibrary.us/DOD/DODI/5200.44/CURRENT/TITLE.html</v>
      </c>
      <c r="I565" t="str">
        <f t="shared" si="26"/>
        <v>&lt;tr&gt; &lt;td&gt; &lt;a href=https://federallibrary.us/DOD/DODI/5200.44/CURRENT/TITLE.html&gt; DODI 5200.44&lt;/a&gt; &lt;/td&gt; &lt;td&gt; Protection of Mission Critical Functions to Achieve Trusted Systems and Networks (TSN) &lt;/td&gt; &lt;/tr&gt;</v>
      </c>
    </row>
    <row r="566" spans="1:9" x14ac:dyDescent="0.25">
      <c r="A566" t="s">
        <v>1064</v>
      </c>
      <c r="B566" t="s">
        <v>915</v>
      </c>
      <c r="C566" t="str">
        <f t="shared" si="24"/>
        <v>5200.46</v>
      </c>
      <c r="D566" t="s">
        <v>1157</v>
      </c>
      <c r="E566" s="2">
        <v>44137</v>
      </c>
      <c r="G566" t="s">
        <v>564</v>
      </c>
      <c r="H566" t="str">
        <f t="shared" si="25"/>
        <v>https://federallibrary.us/DOD/DODI/5200.46/CURRENT/TITLE.html</v>
      </c>
      <c r="I566" t="str">
        <f t="shared" si="26"/>
        <v>&lt;tr&gt; &lt;td&gt; &lt;a href=https://federallibrary.us/DOD/DODI/5200.46/CURRENT/TITLE.html&gt; DODI 5200.46&lt;/a&gt; &lt;/td&gt; &lt;td&gt; DoD Investigative and Adjudicative Guidance for Issuing the Common Access Card (CAC) &lt;/td&gt; &lt;/tr&gt;</v>
      </c>
    </row>
    <row r="567" spans="1:9" x14ac:dyDescent="0.25">
      <c r="A567" t="s">
        <v>1064</v>
      </c>
      <c r="B567" t="s">
        <v>952</v>
      </c>
      <c r="C567" t="str">
        <f t="shared" si="24"/>
        <v>5200.48</v>
      </c>
      <c r="D567" t="s">
        <v>1157</v>
      </c>
      <c r="E567" s="2">
        <v>43896</v>
      </c>
      <c r="G567" t="s">
        <v>565</v>
      </c>
      <c r="H567" t="str">
        <f t="shared" si="25"/>
        <v>https://federallibrary.us/DOD/DODI/5200.48/CURRENT/TITLE.html</v>
      </c>
      <c r="I567" t="str">
        <f t="shared" si="26"/>
        <v>&lt;tr&gt; &lt;td&gt; &lt;a href=https://federallibrary.us/DOD/DODI/5200.48/CURRENT/TITLE.html&gt; DODI 5200.48&lt;/a&gt; &lt;/td&gt; &lt;td&gt; Controlled Unclassified Information (CUI) &lt;/td&gt; &lt;/tr&gt;</v>
      </c>
    </row>
    <row r="568" spans="1:9" x14ac:dyDescent="0.25">
      <c r="A568" t="s">
        <v>1064</v>
      </c>
      <c r="B568" t="s">
        <v>1065</v>
      </c>
      <c r="C568" t="str">
        <f t="shared" si="24"/>
        <v>5200.49</v>
      </c>
      <c r="D568" t="s">
        <v>1157</v>
      </c>
      <c r="E568" s="2">
        <v>44791</v>
      </c>
      <c r="G568" t="s">
        <v>566</v>
      </c>
      <c r="H568" t="str">
        <f t="shared" si="25"/>
        <v>https://federallibrary.us/DOD/DODI/5200.49/CURRENT/TITLE.html</v>
      </c>
      <c r="I568" t="str">
        <f t="shared" si="26"/>
        <v>&lt;tr&gt; &lt;td&gt; &lt;a href=https://federallibrary.us/DOD/DODI/5200.49/CURRENT/TITLE.html&gt; DODI 5200.49&lt;/a&gt; &lt;/td&gt; &lt;td&gt; Oversight of the Collection and Exchange of Information Using the Government-Industry Data Exchange Program &lt;/td&gt; &lt;/tr&gt;</v>
      </c>
    </row>
    <row r="569" spans="1:9" x14ac:dyDescent="0.25">
      <c r="A569">
        <v>5205</v>
      </c>
      <c r="B569" t="s">
        <v>845</v>
      </c>
      <c r="C569" t="str">
        <f t="shared" si="24"/>
        <v>5205.01</v>
      </c>
      <c r="D569" t="s">
        <v>1157</v>
      </c>
      <c r="E569" s="2">
        <v>42747</v>
      </c>
      <c r="G569" t="s">
        <v>567</v>
      </c>
      <c r="H569" t="str">
        <f t="shared" si="25"/>
        <v>https://federallibrary.us/DOD/DODI/5205.01/CURRENT/TITLE.html</v>
      </c>
      <c r="I569" t="str">
        <f t="shared" si="26"/>
        <v>&lt;tr&gt; &lt;td&gt; &lt;a href=https://federallibrary.us/DOD/DODI/5205.01/CURRENT/TITLE.html&gt; DODI 5205.01&lt;/a&gt; &lt;/td&gt; &lt;td&gt; (U) DoD Foreign Military Intelligence Collection Activities (FORMICA) &lt;/td&gt; &lt;/tr&gt;</v>
      </c>
    </row>
    <row r="570" spans="1:9" x14ac:dyDescent="0.25">
      <c r="A570" t="s">
        <v>1066</v>
      </c>
      <c r="B570" t="s">
        <v>865</v>
      </c>
      <c r="C570" t="str">
        <f t="shared" si="24"/>
        <v>5205.08</v>
      </c>
      <c r="D570" t="s">
        <v>1157</v>
      </c>
      <c r="E570" s="2">
        <v>44098</v>
      </c>
      <c r="G570" t="s">
        <v>568</v>
      </c>
      <c r="H570" t="str">
        <f t="shared" si="25"/>
        <v>https://federallibrary.us/DOD/DODI/5205.08/CURRENT/TITLE.html</v>
      </c>
      <c r="I570" t="str">
        <f t="shared" si="26"/>
        <v>&lt;tr&gt; &lt;td&gt; &lt;a href=https://federallibrary.us/DOD/DODI/5205.08/CURRENT/TITLE.html&gt; DODI 5205.08&lt;/a&gt; &lt;/td&gt; &lt;td&gt; Access to U.S. Classified Cryptographic Information &lt;/td&gt; &lt;/tr&gt;</v>
      </c>
    </row>
    <row r="571" spans="1:9" x14ac:dyDescent="0.25">
      <c r="A571" t="s">
        <v>1066</v>
      </c>
      <c r="B571" t="s">
        <v>847</v>
      </c>
      <c r="C571" t="str">
        <f t="shared" si="24"/>
        <v>5205.11</v>
      </c>
      <c r="D571" t="s">
        <v>1157</v>
      </c>
      <c r="E571" s="2">
        <v>43865</v>
      </c>
      <c r="G571" t="s">
        <v>569</v>
      </c>
      <c r="H571" t="str">
        <f t="shared" si="25"/>
        <v>https://federallibrary.us/DOD/DODI/5205.11/CURRENT/TITLE.html</v>
      </c>
      <c r="I571" t="str">
        <f t="shared" si="26"/>
        <v>&lt;tr&gt; &lt;td&gt; &lt;a href=https://federallibrary.us/DOD/DODI/5205.11/CURRENT/TITLE.html&gt; DODI 5205.11&lt;/a&gt; &lt;/td&gt; &lt;td&gt; Management, Administration, and Oversight of DoD Special Access Programs (SAPs) &lt;/td&gt; &lt;/tr&gt;</v>
      </c>
    </row>
    <row r="572" spans="1:9" x14ac:dyDescent="0.25">
      <c r="A572" t="s">
        <v>1066</v>
      </c>
      <c r="B572" t="s">
        <v>848</v>
      </c>
      <c r="C572" t="str">
        <f t="shared" si="24"/>
        <v>5205.13</v>
      </c>
      <c r="D572" t="s">
        <v>1157</v>
      </c>
      <c r="E572" s="2">
        <v>43698</v>
      </c>
      <c r="G572" t="s">
        <v>570</v>
      </c>
      <c r="H572" t="str">
        <f t="shared" si="25"/>
        <v>https://federallibrary.us/DOD/DODI/5205.13/CURRENT/TITLE.html</v>
      </c>
      <c r="I572" t="str">
        <f t="shared" si="26"/>
        <v>&lt;tr&gt; &lt;td&gt; &lt;a href=https://federallibrary.us/DOD/DODI/5205.13/CURRENT/TITLE.html&gt; DODI 5205.13&lt;/a&gt; &lt;/td&gt; &lt;td&gt; Defense Industrial Base (DIB) Cybersecurity (CS) Activities &lt;/td&gt; &lt;/tr&gt;</v>
      </c>
    </row>
    <row r="573" spans="1:9" x14ac:dyDescent="0.25">
      <c r="A573" t="s">
        <v>1066</v>
      </c>
      <c r="B573" t="s">
        <v>1027</v>
      </c>
      <c r="C573" t="str">
        <f t="shared" si="24"/>
        <v>5205.83</v>
      </c>
      <c r="D573" t="s">
        <v>1157</v>
      </c>
      <c r="E573" s="2">
        <v>44133</v>
      </c>
      <c r="G573" t="s">
        <v>571</v>
      </c>
      <c r="H573" t="str">
        <f t="shared" si="25"/>
        <v>https://federallibrary.us/DOD/DODI/5205.83/CURRENT/TITLE.html</v>
      </c>
      <c r="I573" t="str">
        <f t="shared" si="26"/>
        <v>&lt;tr&gt; &lt;td&gt; &lt;a href=https://federallibrary.us/DOD/DODI/5205.83/CURRENT/TITLE.html&gt; DODI 5205.83&lt;/a&gt; &lt;/td&gt; &lt;td&gt; DoD Insider Threat Management and Analysis Center (DITMAC) &lt;/td&gt; &lt;/tr&gt;</v>
      </c>
    </row>
    <row r="574" spans="1:9" x14ac:dyDescent="0.25">
      <c r="A574">
        <v>5205</v>
      </c>
      <c r="B574" t="s">
        <v>1028</v>
      </c>
      <c r="C574" t="str">
        <f t="shared" si="24"/>
        <v>5205.84</v>
      </c>
      <c r="D574" t="s">
        <v>1157</v>
      </c>
      <c r="E574" s="2">
        <v>43679</v>
      </c>
      <c r="G574" t="s">
        <v>572</v>
      </c>
      <c r="H574" t="str">
        <f t="shared" si="25"/>
        <v>https://federallibrary.us/DOD/DODI/5205.84/CURRENT/TITLE.html</v>
      </c>
      <c r="I574" t="str">
        <f t="shared" si="26"/>
        <v>&lt;tr&gt; &lt;td&gt; &lt;a href=https://federallibrary.us/DOD/DODI/5205.84/CURRENT/TITLE.html&gt; DODI 5205.84&lt;/a&gt; &lt;/td&gt; &lt;td&gt; (U) DoD Cover and Cover Support Activities in Cyberspace &lt;/td&gt; &lt;/tr&gt;</v>
      </c>
    </row>
    <row r="575" spans="1:9" x14ac:dyDescent="0.25">
      <c r="A575" t="s">
        <v>1066</v>
      </c>
      <c r="B575" t="s">
        <v>1029</v>
      </c>
      <c r="C575" t="str">
        <f t="shared" si="24"/>
        <v>5205.85</v>
      </c>
      <c r="D575" t="s">
        <v>1157</v>
      </c>
      <c r="E575" s="2">
        <v>44789</v>
      </c>
      <c r="G575" t="s">
        <v>573</v>
      </c>
      <c r="H575" t="str">
        <f t="shared" si="25"/>
        <v>https://federallibrary.us/DOD/DODI/5205.85/CURRENT/TITLE.html</v>
      </c>
      <c r="I575" t="str">
        <f t="shared" si="26"/>
        <v>&lt;tr&gt; &lt;td&gt; &lt;a href=https://federallibrary.us/DOD/DODI/5205.85/CURRENT/TITLE.html&gt; DODI 5205.85&lt;/a&gt; &lt;/td&gt; &lt;td&gt; Enhanced Security Program to Support the DoD Innovation Initiative &lt;/td&gt; &lt;/tr&gt;</v>
      </c>
    </row>
    <row r="576" spans="1:9" x14ac:dyDescent="0.25">
      <c r="A576" t="s">
        <v>1066</v>
      </c>
      <c r="B576" t="s">
        <v>1030</v>
      </c>
      <c r="C576" t="str">
        <f t="shared" si="24"/>
        <v>5205.86</v>
      </c>
      <c r="D576" t="s">
        <v>1157</v>
      </c>
      <c r="E576" s="2">
        <v>45099</v>
      </c>
      <c r="G576" t="s">
        <v>574</v>
      </c>
      <c r="H576" t="str">
        <f t="shared" si="25"/>
        <v>https://federallibrary.us/DOD/DODI/5205.86/CURRENT/TITLE.html</v>
      </c>
      <c r="I576" t="str">
        <f t="shared" si="26"/>
        <v>&lt;tr&gt; &lt;td&gt; &lt;a href=https://federallibrary.us/DOD/DODI/5205.86/CURRENT/TITLE.html&gt; DODI 5205.86&lt;/a&gt; &lt;/td&gt; &lt;td&gt; Defense Intelligence and Counterintelligence Expense Authority &lt;/td&gt; &lt;/tr&gt;</v>
      </c>
    </row>
    <row r="577" spans="1:9" x14ac:dyDescent="0.25">
      <c r="A577" t="s">
        <v>1066</v>
      </c>
      <c r="B577" t="s">
        <v>1031</v>
      </c>
      <c r="C577" t="str">
        <f t="shared" si="24"/>
        <v>5205.87</v>
      </c>
      <c r="D577" t="s">
        <v>1157</v>
      </c>
      <c r="E577" s="2">
        <v>45425</v>
      </c>
      <c r="G577" t="s">
        <v>575</v>
      </c>
      <c r="H577" t="str">
        <f t="shared" si="25"/>
        <v>https://federallibrary.us/DOD/DODI/5205.87/CURRENT/TITLE.html</v>
      </c>
      <c r="I577" t="str">
        <f t="shared" si="26"/>
        <v>&lt;tr&gt; &lt;td&gt; &lt;a href=https://federallibrary.us/DOD/DODI/5205.87/CURRENT/TITLE.html&gt; DODI 5205.87&lt;/a&gt; &lt;/td&gt; &lt;td&gt; Mitigating Risks Related to Foreign Ownership, Control, or Influence for Covered DoD Contractors &lt;/td&gt; &lt;/tr&gt;</v>
      </c>
    </row>
    <row r="578" spans="1:9" x14ac:dyDescent="0.25">
      <c r="A578" t="s">
        <v>1067</v>
      </c>
      <c r="B578" t="s">
        <v>870</v>
      </c>
      <c r="C578" t="str">
        <f t="shared" si="24"/>
        <v>5210.02</v>
      </c>
      <c r="D578" t="s">
        <v>1157</v>
      </c>
      <c r="E578" s="2">
        <v>43333</v>
      </c>
      <c r="G578" t="s">
        <v>576</v>
      </c>
      <c r="H578" t="str">
        <f t="shared" si="25"/>
        <v>https://federallibrary.us/DOD/DODI/5210.02/CURRENT/TITLE.html</v>
      </c>
      <c r="I578" t="str">
        <f t="shared" si="26"/>
        <v>&lt;tr&gt; &lt;td&gt; &lt;a href=https://federallibrary.us/DOD/DODI/5210.02/CURRENT/TITLE.html&gt; DODI 5210.02&lt;/a&gt; &lt;/td&gt; &lt;td&gt; Access to and Dissemination of Restricted Data and Formerly Restricted Data &lt;/td&gt; &lt;/tr&gt;</v>
      </c>
    </row>
    <row r="579" spans="1:9" x14ac:dyDescent="0.25">
      <c r="A579" t="s">
        <v>1067</v>
      </c>
      <c r="B579" t="s">
        <v>912</v>
      </c>
      <c r="C579" t="str">
        <f t="shared" ref="C579:C642" si="27">_xlfn.CONCAT(A579,".",B579)</f>
        <v>5210.42</v>
      </c>
      <c r="D579" t="s">
        <v>1157</v>
      </c>
      <c r="E579" s="2">
        <v>43749</v>
      </c>
      <c r="G579" t="s">
        <v>577</v>
      </c>
      <c r="H579" t="str">
        <f t="shared" ref="H579:H642" si="28">IF(D579="CURRENT",_xlfn.CONCAT("https://federallibrary.us/DOD/DODI/",C579,"/CURRENT/TITLE.html"),"")</f>
        <v>https://federallibrary.us/DOD/DODI/5210.42/CURRENT/TITLE.html</v>
      </c>
      <c r="I579" t="str">
        <f t="shared" ref="I579:I642" si="29">IF(D579="CURRENT",_xlfn.CONCAT("&lt;tr&gt; &lt;td&gt; &lt;a href=",H579,"&gt; DODI ",C579, "&lt;/a&gt; &lt;/td&gt; &lt;td&gt; ", G579, " &lt;/td&gt; &lt;/tr&gt;"),"")</f>
        <v>&lt;tr&gt; &lt;td&gt; &lt;a href=https://federallibrary.us/DOD/DODI/5210.42/CURRENT/TITLE.html&gt; DODI 5210.42&lt;/a&gt; &lt;/td&gt; &lt;td&gt; DoD Nuclear Weapons Personnel Reliability Assurance &lt;/td&gt; &lt;/tr&gt;</v>
      </c>
    </row>
    <row r="580" spans="1:9" x14ac:dyDescent="0.25">
      <c r="A580" t="s">
        <v>1067</v>
      </c>
      <c r="B580" t="s">
        <v>914</v>
      </c>
      <c r="C580" t="str">
        <f t="shared" si="27"/>
        <v>5210.45</v>
      </c>
      <c r="D580" t="s">
        <v>1157</v>
      </c>
      <c r="E580" s="2">
        <v>44070</v>
      </c>
      <c r="G580" t="s">
        <v>578</v>
      </c>
      <c r="H580" t="str">
        <f t="shared" si="28"/>
        <v>https://federallibrary.us/DOD/DODI/5210.45/CURRENT/TITLE.html</v>
      </c>
      <c r="I580" t="str">
        <f t="shared" si="29"/>
        <v>&lt;tr&gt; &lt;td&gt; &lt;a href=https://federallibrary.us/DOD/DODI/5210.45/CURRENT/TITLE.html&gt; DODI 5210.45&lt;/a&gt; &lt;/td&gt; &lt;td&gt; Personnel Security Policies and Procedures for Sensitive Cryptologic Information in the National Security Agency/Central Security Service &lt;/td&gt; &lt;/tr&gt;</v>
      </c>
    </row>
    <row r="581" spans="1:9" x14ac:dyDescent="0.25">
      <c r="A581" t="s">
        <v>1067</v>
      </c>
      <c r="B581" t="s">
        <v>1016</v>
      </c>
      <c r="C581" t="str">
        <f t="shared" si="27"/>
        <v>5210.60</v>
      </c>
      <c r="D581" t="s">
        <v>1157</v>
      </c>
      <c r="E581" s="2">
        <v>38690</v>
      </c>
      <c r="G581" t="s">
        <v>579</v>
      </c>
      <c r="H581" t="str">
        <f t="shared" si="28"/>
        <v>https://federallibrary.us/DOD/DODI/5210.60/CURRENT/TITLE.html</v>
      </c>
      <c r="I581" t="str">
        <f t="shared" si="29"/>
        <v>&lt;tr&gt; &lt;td&gt; &lt;a href=https://federallibrary.us/DOD/DODI/5210.60/CURRENT/TITLE.html&gt; DODI 5210.60&lt;/a&gt; &lt;/td&gt; &lt;td&gt; Security Clearance Program for U.S. Citizens Employed Directly by the North Atlantic Treaty Organization (NATO) &lt;/td&gt; &lt;/tr&gt;</v>
      </c>
    </row>
    <row r="582" spans="1:9" x14ac:dyDescent="0.25">
      <c r="A582">
        <v>5210</v>
      </c>
      <c r="B582" t="s">
        <v>986</v>
      </c>
      <c r="C582" t="str">
        <f t="shared" si="27"/>
        <v>5210.63</v>
      </c>
      <c r="D582" t="s">
        <v>1157</v>
      </c>
      <c r="E582" s="2">
        <v>43343</v>
      </c>
      <c r="G582" t="s">
        <v>580</v>
      </c>
      <c r="H582" t="str">
        <f t="shared" si="28"/>
        <v>https://federallibrary.us/DOD/DODI/5210.63/CURRENT/TITLE.html</v>
      </c>
      <c r="I582" t="str">
        <f t="shared" si="29"/>
        <v>&lt;tr&gt; &lt;td&gt; &lt;a href=https://federallibrary.us/DOD/DODI/5210.63/CURRENT/TITLE.html&gt; DODI 5210.63&lt;/a&gt; &lt;/td&gt; &lt;td&gt; DoD Procedures for Security of Nuclear Reactors and Special Nuclear Materials (SNM) &lt;/td&gt; &lt;/tr&gt;</v>
      </c>
    </row>
    <row r="583" spans="1:9" x14ac:dyDescent="0.25">
      <c r="A583" t="s">
        <v>1067</v>
      </c>
      <c r="B583" t="s">
        <v>999</v>
      </c>
      <c r="C583" t="str">
        <f t="shared" si="27"/>
        <v>5210.65</v>
      </c>
      <c r="D583" t="s">
        <v>1157</v>
      </c>
      <c r="E583" s="2">
        <v>44105</v>
      </c>
      <c r="G583" t="s">
        <v>581</v>
      </c>
      <c r="H583" t="str">
        <f t="shared" si="28"/>
        <v>https://federallibrary.us/DOD/DODI/5210.65/CURRENT/TITLE.html</v>
      </c>
      <c r="I583" t="str">
        <f t="shared" si="29"/>
        <v>&lt;tr&gt; &lt;td&gt; &lt;a href=https://federallibrary.us/DOD/DODI/5210.65/CURRENT/TITLE.html&gt; DODI 5210.65&lt;/a&gt; &lt;/td&gt; &lt;td&gt; Security Standards for Safeguarding DoD Chemical Agents &lt;/td&gt; &lt;/tr&gt;</v>
      </c>
    </row>
    <row r="584" spans="1:9" x14ac:dyDescent="0.25">
      <c r="A584" t="s">
        <v>1067</v>
      </c>
      <c r="B584" t="s">
        <v>979</v>
      </c>
      <c r="C584" t="str">
        <f t="shared" si="27"/>
        <v>5210.67</v>
      </c>
      <c r="D584" t="s">
        <v>1157</v>
      </c>
      <c r="E584" s="2">
        <v>43343</v>
      </c>
      <c r="G584" t="s">
        <v>582</v>
      </c>
      <c r="H584" t="str">
        <f t="shared" si="28"/>
        <v>https://federallibrary.us/DOD/DODI/5210.67/CURRENT/TITLE.html</v>
      </c>
      <c r="I584" t="str">
        <f t="shared" si="29"/>
        <v>&lt;tr&gt; &lt;td&gt; &lt;a href=https://federallibrary.us/DOD/DODI/5210.67/CURRENT/TITLE.html&gt; DODI 5210.67&lt;/a&gt; &lt;/td&gt; &lt;td&gt; Special Nuclear Material Information, Security Classification Guidance &lt;/td&gt; &lt;/tr&gt;</v>
      </c>
    </row>
    <row r="585" spans="1:9" x14ac:dyDescent="0.25">
      <c r="A585">
        <v>5210</v>
      </c>
      <c r="B585" t="s">
        <v>1026</v>
      </c>
      <c r="C585" t="str">
        <f t="shared" si="27"/>
        <v>5210.82</v>
      </c>
      <c r="D585" t="s">
        <v>1157</v>
      </c>
      <c r="E585" s="2">
        <v>43343</v>
      </c>
      <c r="G585" t="s">
        <v>583</v>
      </c>
      <c r="H585" t="str">
        <f t="shared" si="28"/>
        <v>https://federallibrary.us/DOD/DODI/5210.82/CURRENT/TITLE.html</v>
      </c>
      <c r="I585" t="str">
        <f t="shared" si="29"/>
        <v>&lt;tr&gt; &lt;td&gt; &lt;a href=https://federallibrary.us/DOD/DODI/5210.82/CURRENT/TITLE.html&gt; DODI 5210.82&lt;/a&gt; &lt;/td&gt; &lt;td&gt; (U) Protection of Nuclear Weapons Coding Equipment &lt;/td&gt; &lt;/tr&gt;</v>
      </c>
    </row>
    <row r="586" spans="1:9" x14ac:dyDescent="0.25">
      <c r="A586" t="s">
        <v>1067</v>
      </c>
      <c r="B586" t="s">
        <v>1027</v>
      </c>
      <c r="C586" t="str">
        <f t="shared" si="27"/>
        <v>5210.83</v>
      </c>
      <c r="D586" t="s">
        <v>1157</v>
      </c>
      <c r="E586" s="2">
        <v>44106</v>
      </c>
      <c r="G586" t="s">
        <v>584</v>
      </c>
      <c r="H586" t="str">
        <f t="shared" si="28"/>
        <v>https://federallibrary.us/DOD/DODI/5210.83/CURRENT/TITLE.html</v>
      </c>
      <c r="I586" t="str">
        <f t="shared" si="29"/>
        <v>&lt;tr&gt; &lt;td&gt; &lt;a href=https://federallibrary.us/DOD/DODI/5210.83/CURRENT/TITLE.html&gt; DODI 5210.83&lt;/a&gt; &lt;/td&gt; &lt;td&gt; DoD Unclassified Controlled Nuclear Information (UCNI) &lt;/td&gt; &lt;/tr&gt;</v>
      </c>
    </row>
    <row r="587" spans="1:9" x14ac:dyDescent="0.25">
      <c r="A587" t="s">
        <v>1067</v>
      </c>
      <c r="B587" t="s">
        <v>1028</v>
      </c>
      <c r="C587" t="str">
        <f t="shared" si="27"/>
        <v>5210.84</v>
      </c>
      <c r="D587" t="s">
        <v>1157</v>
      </c>
      <c r="E587" s="2">
        <v>35353</v>
      </c>
      <c r="G587" t="s">
        <v>585</v>
      </c>
      <c r="H587" t="str">
        <f t="shared" si="28"/>
        <v>https://federallibrary.us/DOD/DODI/5210.84/CURRENT/TITLE.html</v>
      </c>
      <c r="I587" t="str">
        <f t="shared" si="29"/>
        <v>&lt;tr&gt; &lt;td&gt; &lt;a href=https://federallibrary.us/DOD/DODI/5210.84/CURRENT/TITLE.html&gt; DODI 5210.84&lt;/a&gt; &lt;/td&gt; &lt;td&gt; Security of DoD Personnel At U.S. Missions Abroad &lt;/td&gt; &lt;/tr&gt;</v>
      </c>
    </row>
    <row r="588" spans="1:9" x14ac:dyDescent="0.25">
      <c r="A588" t="s">
        <v>1067</v>
      </c>
      <c r="B588" t="s">
        <v>1031</v>
      </c>
      <c r="C588" t="str">
        <f t="shared" si="27"/>
        <v>5210.87</v>
      </c>
      <c r="D588" t="s">
        <v>1157</v>
      </c>
      <c r="E588" s="2">
        <v>36129</v>
      </c>
      <c r="G588" t="s">
        <v>586</v>
      </c>
      <c r="H588" t="str">
        <f t="shared" si="28"/>
        <v>https://federallibrary.us/DOD/DODI/5210.87/CURRENT/TITLE.html</v>
      </c>
      <c r="I588" t="str">
        <f t="shared" si="29"/>
        <v>&lt;tr&gt; &lt;td&gt; &lt;a href=https://federallibrary.us/DOD/DODI/5210.87/CURRENT/TITLE.html&gt; DODI 5210.87&lt;/a&gt; &lt;/td&gt; &lt;td&gt; Selection of DoD Military and Civilian Personnel and Contractor Employees for Assignment to Presidential Support Activities (PSAs) &lt;/td&gt; &lt;/tr&gt;</v>
      </c>
    </row>
    <row r="589" spans="1:9" x14ac:dyDescent="0.25">
      <c r="A589" t="s">
        <v>1067</v>
      </c>
      <c r="B589" t="s">
        <v>1032</v>
      </c>
      <c r="C589" t="str">
        <f t="shared" si="27"/>
        <v>5210.88</v>
      </c>
      <c r="D589" t="s">
        <v>1157</v>
      </c>
      <c r="E589" s="2">
        <v>43977</v>
      </c>
      <c r="G589" t="s">
        <v>587</v>
      </c>
      <c r="H589" t="str">
        <f t="shared" si="28"/>
        <v>https://federallibrary.us/DOD/DODI/5210.88/CURRENT/TITLE.html</v>
      </c>
      <c r="I589" t="str">
        <f t="shared" si="29"/>
        <v>&lt;tr&gt; &lt;td&gt; &lt;a href=https://federallibrary.us/DOD/DODI/5210.88/CURRENT/TITLE.html&gt; DODI 5210.88&lt;/a&gt; &lt;/td&gt; &lt;td&gt; Security Standards for Safeguarding Biological Select Agents and Toxins &lt;/td&gt; &lt;/tr&gt;</v>
      </c>
    </row>
    <row r="590" spans="1:9" x14ac:dyDescent="0.25">
      <c r="A590" t="s">
        <v>1067</v>
      </c>
      <c r="B590" t="s">
        <v>1035</v>
      </c>
      <c r="C590" t="str">
        <f t="shared" si="27"/>
        <v>5210.91</v>
      </c>
      <c r="D590" t="s">
        <v>1157</v>
      </c>
      <c r="E590" s="2">
        <v>43920</v>
      </c>
      <c r="G590" t="s">
        <v>588</v>
      </c>
      <c r="H590" t="str">
        <f t="shared" si="28"/>
        <v>https://federallibrary.us/DOD/DODI/5210.91/CURRENT/TITLE.html</v>
      </c>
      <c r="I590" t="str">
        <f t="shared" si="29"/>
        <v>&lt;tr&gt; &lt;td&gt; &lt;a href=https://federallibrary.us/DOD/DODI/5210.91/CURRENT/TITLE.html&gt; DODI 5210.91&lt;/a&gt; &lt;/td&gt; &lt;td&gt; Polygraph and Credibility Assessment (PCA) Procedures &lt;/td&gt; &lt;/tr&gt;</v>
      </c>
    </row>
    <row r="591" spans="1:9" x14ac:dyDescent="0.25">
      <c r="A591" t="s">
        <v>1068</v>
      </c>
      <c r="B591" t="s">
        <v>855</v>
      </c>
      <c r="C591" t="str">
        <f t="shared" si="27"/>
        <v>5220.31</v>
      </c>
      <c r="D591" t="s">
        <v>1157</v>
      </c>
      <c r="E591" s="2">
        <v>45055</v>
      </c>
      <c r="G591" t="s">
        <v>589</v>
      </c>
      <c r="H591" t="str">
        <f t="shared" si="28"/>
        <v>https://federallibrary.us/DOD/DODI/5220.31/CURRENT/TITLE.html</v>
      </c>
      <c r="I591" t="str">
        <f t="shared" si="29"/>
        <v>&lt;tr&gt; &lt;td&gt; &lt;a href=https://federallibrary.us/DOD/DODI/5220.31/CURRENT/TITLE.html&gt; DODI 5220.31&lt;/a&gt; &lt;/td&gt; &lt;td&gt; National Industrial Security Program &lt;/td&gt; &lt;/tr&gt;</v>
      </c>
    </row>
    <row r="592" spans="1:9" x14ac:dyDescent="0.25">
      <c r="A592" t="s">
        <v>1069</v>
      </c>
      <c r="B592" t="s">
        <v>862</v>
      </c>
      <c r="C592" t="str">
        <f t="shared" si="27"/>
        <v>5230.09</v>
      </c>
      <c r="D592" t="s">
        <v>1157</v>
      </c>
      <c r="E592" s="2">
        <v>44601</v>
      </c>
      <c r="G592" t="s">
        <v>590</v>
      </c>
      <c r="H592" t="str">
        <f t="shared" si="28"/>
        <v>https://federallibrary.us/DOD/DODI/5230.09/CURRENT/TITLE.html</v>
      </c>
      <c r="I592" t="str">
        <f t="shared" si="29"/>
        <v>&lt;tr&gt; &lt;td&gt; &lt;a href=https://federallibrary.us/DOD/DODI/5230.09/CURRENT/TITLE.html&gt; DODI 5230.09&lt;/a&gt; &lt;/td&gt; &lt;td&gt; Clearance of DoD Information for Public Release &lt;/td&gt; &lt;/tr&gt;</v>
      </c>
    </row>
    <row r="593" spans="1:9" x14ac:dyDescent="0.25">
      <c r="A593" t="s">
        <v>1069</v>
      </c>
      <c r="B593" t="s">
        <v>860</v>
      </c>
      <c r="C593" t="str">
        <f t="shared" si="27"/>
        <v>5230.16</v>
      </c>
      <c r="D593" t="s">
        <v>1157</v>
      </c>
      <c r="E593" s="2">
        <v>45223</v>
      </c>
      <c r="G593" t="s">
        <v>591</v>
      </c>
      <c r="H593" t="str">
        <f t="shared" si="28"/>
        <v>https://federallibrary.us/DOD/DODI/5230.16/CURRENT/TITLE.html</v>
      </c>
      <c r="I593" t="str">
        <f t="shared" si="29"/>
        <v>&lt;tr&gt; &lt;td&gt; &lt;a href=https://federallibrary.us/DOD/DODI/5230.16/CURRENT/TITLE.html&gt; DODI 5230.16&lt;/a&gt; &lt;/td&gt; &lt;td&gt; Public Affairs Guidance for Nuclear Weapon and Radiological Material Incidents &lt;/td&gt; &lt;/tr&gt;</v>
      </c>
    </row>
    <row r="594" spans="1:9" x14ac:dyDescent="0.25">
      <c r="A594" t="s">
        <v>1069</v>
      </c>
      <c r="B594" t="s">
        <v>878</v>
      </c>
      <c r="C594" t="str">
        <f t="shared" si="27"/>
        <v>5230.24</v>
      </c>
      <c r="D594" t="s">
        <v>1157</v>
      </c>
      <c r="E594" s="2">
        <v>44936</v>
      </c>
      <c r="G594" t="s">
        <v>592</v>
      </c>
      <c r="H594" t="str">
        <f t="shared" si="28"/>
        <v>https://federallibrary.us/DOD/DODI/5230.24/CURRENT/TITLE.html</v>
      </c>
      <c r="I594" t="str">
        <f t="shared" si="29"/>
        <v>&lt;tr&gt; &lt;td&gt; &lt;a href=https://federallibrary.us/DOD/DODI/5230.24/CURRENT/TITLE.html&gt; DODI 5230.24&lt;/a&gt; &lt;/td&gt; &lt;td&gt; Distribution Statements on DoD Technical Information &lt;/td&gt; &lt;/tr&gt;</v>
      </c>
    </row>
    <row r="595" spans="1:9" x14ac:dyDescent="0.25">
      <c r="A595" t="s">
        <v>1069</v>
      </c>
      <c r="B595" t="s">
        <v>852</v>
      </c>
      <c r="C595" t="str">
        <f t="shared" si="27"/>
        <v>5230.27</v>
      </c>
      <c r="D595" t="s">
        <v>1157</v>
      </c>
      <c r="E595" s="2">
        <v>43388</v>
      </c>
      <c r="G595" t="s">
        <v>593</v>
      </c>
      <c r="H595" t="str">
        <f t="shared" si="28"/>
        <v>https://federallibrary.us/DOD/DODI/5230.27/CURRENT/TITLE.html</v>
      </c>
      <c r="I595" t="str">
        <f t="shared" si="29"/>
        <v>&lt;tr&gt; &lt;td&gt; &lt;a href=https://federallibrary.us/DOD/DODI/5230.27/CURRENT/TITLE.html&gt; DODI 5230.27&lt;/a&gt; &lt;/td&gt; &lt;td&gt; Presentation of DoD-Related Scientific and Technical Papers At Meetings &lt;/td&gt; &lt;/tr&gt;</v>
      </c>
    </row>
    <row r="596" spans="1:9" x14ac:dyDescent="0.25">
      <c r="A596" t="s">
        <v>1069</v>
      </c>
      <c r="B596" t="s">
        <v>853</v>
      </c>
      <c r="C596" t="str">
        <f t="shared" si="27"/>
        <v>5230.28</v>
      </c>
      <c r="D596" t="s">
        <v>1157</v>
      </c>
      <c r="E596" s="2">
        <v>43343</v>
      </c>
      <c r="G596" t="s">
        <v>594</v>
      </c>
      <c r="H596" t="str">
        <f t="shared" si="28"/>
        <v>https://federallibrary.us/DOD/DODI/5230.28/CURRENT/TITLE.html</v>
      </c>
      <c r="I596" t="str">
        <f t="shared" si="29"/>
        <v>&lt;tr&gt; &lt;td&gt; &lt;a href=https://federallibrary.us/DOD/DODI/5230.28/CURRENT/TITLE.html&gt; DODI 5230.28&lt;/a&gt; &lt;/td&gt; &lt;td&gt; Policy for Low Observable (LO) and Counter Low Observable (CLO) Programs (U) &lt;/td&gt; &lt;/tr&gt;</v>
      </c>
    </row>
    <row r="597" spans="1:9" x14ac:dyDescent="0.25">
      <c r="A597" t="s">
        <v>1069</v>
      </c>
      <c r="B597" t="s">
        <v>895</v>
      </c>
      <c r="C597" t="str">
        <f t="shared" si="27"/>
        <v>5230.29</v>
      </c>
      <c r="D597" t="s">
        <v>1157</v>
      </c>
      <c r="E597" s="2">
        <v>44600</v>
      </c>
      <c r="G597" t="s">
        <v>595</v>
      </c>
      <c r="H597" t="str">
        <f t="shared" si="28"/>
        <v>https://federallibrary.us/DOD/DODI/5230.29/CURRENT/TITLE.html</v>
      </c>
      <c r="I597" t="str">
        <f t="shared" si="29"/>
        <v>&lt;tr&gt; &lt;td&gt; &lt;a href=https://federallibrary.us/DOD/DODI/5230.29/CURRENT/TITLE.html&gt; DODI 5230.29&lt;/a&gt; &lt;/td&gt; &lt;td&gt; Security and Policy Review of DoD Information for Public Release &lt;/td&gt; &lt;/tr&gt;</v>
      </c>
    </row>
    <row r="598" spans="1:9" x14ac:dyDescent="0.25">
      <c r="A598" t="s">
        <v>1070</v>
      </c>
      <c r="B598" t="s">
        <v>846</v>
      </c>
      <c r="C598" t="str">
        <f t="shared" si="27"/>
        <v>5240.04</v>
      </c>
      <c r="D598" t="s">
        <v>1157</v>
      </c>
      <c r="E598" s="2">
        <v>44092</v>
      </c>
      <c r="G598" t="s">
        <v>596</v>
      </c>
      <c r="H598" t="str">
        <f t="shared" si="28"/>
        <v>https://federallibrary.us/DOD/DODI/5240.04/CURRENT/TITLE.html</v>
      </c>
      <c r="I598" t="str">
        <f t="shared" si="29"/>
        <v>&lt;tr&gt; &lt;td&gt; &lt;a href=https://federallibrary.us/DOD/DODI/5240.04/CURRENT/TITLE.html&gt; DODI 5240.04&lt;/a&gt; &lt;/td&gt; &lt;td&gt; Counterintelligence (CI) Investigations &lt;/td&gt; &lt;/tr&gt;</v>
      </c>
    </row>
    <row r="599" spans="1:9" x14ac:dyDescent="0.25">
      <c r="A599" t="s">
        <v>1070</v>
      </c>
      <c r="B599" t="s">
        <v>868</v>
      </c>
      <c r="C599" t="str">
        <f t="shared" si="27"/>
        <v>5240.05</v>
      </c>
      <c r="D599" t="s">
        <v>1157</v>
      </c>
      <c r="E599" s="2">
        <v>44070</v>
      </c>
      <c r="G599" t="s">
        <v>597</v>
      </c>
      <c r="H599" t="str">
        <f t="shared" si="28"/>
        <v>https://federallibrary.us/DOD/DODI/5240.05/CURRENT/TITLE.html</v>
      </c>
      <c r="I599" t="str">
        <f t="shared" si="29"/>
        <v>&lt;tr&gt; &lt;td&gt; &lt;a href=https://federallibrary.us/DOD/DODI/5240.05/CURRENT/TITLE.html&gt; DODI 5240.05&lt;/a&gt; &lt;/td&gt; &lt;td&gt; Technical Surveillance Countermeasures (TSCM) &lt;/td&gt; &lt;/tr&gt;</v>
      </c>
    </row>
    <row r="600" spans="1:9" x14ac:dyDescent="0.25">
      <c r="A600">
        <v>5240</v>
      </c>
      <c r="B600" t="s">
        <v>865</v>
      </c>
      <c r="C600" t="str">
        <f t="shared" si="27"/>
        <v>5240.08</v>
      </c>
      <c r="D600" t="s">
        <v>1157</v>
      </c>
      <c r="E600" s="2">
        <v>40875</v>
      </c>
      <c r="G600" t="s">
        <v>598</v>
      </c>
      <c r="H600" t="str">
        <f t="shared" si="28"/>
        <v>https://federallibrary.us/DOD/DODI/5240.08/CURRENT/TITLE.html</v>
      </c>
      <c r="I600" t="str">
        <f t="shared" si="29"/>
        <v>&lt;tr&gt; &lt;td&gt; &lt;a href=https://federallibrary.us/DOD/DODI/5240.08/CURRENT/TITLE.html&gt; DODI 5240.08&lt;/a&gt; &lt;/td&gt; &lt;td&gt; Counterintelligence (CI) Security Classification Guide (U) &lt;/td&gt; &lt;/tr&gt;</v>
      </c>
    </row>
    <row r="601" spans="1:9" x14ac:dyDescent="0.25">
      <c r="A601">
        <v>5240</v>
      </c>
      <c r="B601" t="s">
        <v>862</v>
      </c>
      <c r="C601" t="str">
        <f t="shared" si="27"/>
        <v>5240.09</v>
      </c>
      <c r="D601" t="s">
        <v>1157</v>
      </c>
      <c r="E601" s="2">
        <v>42569</v>
      </c>
      <c r="G601" t="s">
        <v>599</v>
      </c>
      <c r="H601" t="str">
        <f t="shared" si="28"/>
        <v>https://federallibrary.us/DOD/DODI/5240.09/CURRENT/TITLE.html</v>
      </c>
      <c r="I601" t="str">
        <f t="shared" si="29"/>
        <v>&lt;tr&gt; &lt;td&gt; &lt;a href=https://federallibrary.us/DOD/DODI/5240.09/CURRENT/TITLE.html&gt; DODI 5240.09&lt;/a&gt; &lt;/td&gt; &lt;td&gt; (U) Offensive Counterintelligence Operations (OFCO) &lt;/td&gt; &lt;/tr&gt;</v>
      </c>
    </row>
    <row r="602" spans="1:9" x14ac:dyDescent="0.25">
      <c r="A602">
        <v>5240</v>
      </c>
      <c r="B602" t="s">
        <v>863</v>
      </c>
      <c r="C602" t="str">
        <f t="shared" si="27"/>
        <v>5240.10</v>
      </c>
      <c r="D602" t="s">
        <v>1157</v>
      </c>
      <c r="E602" s="2">
        <v>43948</v>
      </c>
      <c r="G602" t="s">
        <v>600</v>
      </c>
      <c r="H602" t="str">
        <f t="shared" si="28"/>
        <v>https://federallibrary.us/DOD/DODI/5240.10/CURRENT/TITLE.html</v>
      </c>
      <c r="I602" t="str">
        <f t="shared" si="29"/>
        <v>&lt;tr&gt; &lt;td&gt; &lt;a href=https://federallibrary.us/DOD/DODI/5240.10/CURRENT/TITLE.html&gt; DODI 5240.10&lt;/a&gt; &lt;/td&gt; &lt;td&gt; Counterintelligence (CI) in the DoD Components (This website is not authorized to post controlled documents. DoD PKI certificate required to access this document.) &lt;/td&gt; &lt;/tr&gt;</v>
      </c>
    </row>
    <row r="603" spans="1:9" x14ac:dyDescent="0.25">
      <c r="A603">
        <v>5240</v>
      </c>
      <c r="B603" t="s">
        <v>850</v>
      </c>
      <c r="C603" t="str">
        <f t="shared" si="27"/>
        <v>5240.17</v>
      </c>
      <c r="D603" t="s">
        <v>1157</v>
      </c>
      <c r="E603" s="2">
        <v>44137</v>
      </c>
      <c r="G603" t="s">
        <v>601</v>
      </c>
      <c r="H603" t="str">
        <f t="shared" si="28"/>
        <v>https://federallibrary.us/DOD/DODI/5240.17/CURRENT/TITLE.html</v>
      </c>
      <c r="I603" t="str">
        <f t="shared" si="29"/>
        <v>&lt;tr&gt; &lt;td&gt; &lt;a href=https://federallibrary.us/DOD/DODI/5240.17/CURRENT/TITLE.html&gt; DODI 5240.17&lt;/a&gt; &lt;/td&gt; &lt;td&gt; (U) Counterintelligence Collection Activities (CCA) &lt;/td&gt; &lt;/tr&gt;</v>
      </c>
    </row>
    <row r="604" spans="1:9" x14ac:dyDescent="0.25">
      <c r="A604" t="s">
        <v>1070</v>
      </c>
      <c r="B604" t="s">
        <v>884</v>
      </c>
      <c r="C604" t="str">
        <f t="shared" si="27"/>
        <v>5240.18</v>
      </c>
      <c r="D604" t="s">
        <v>1157</v>
      </c>
      <c r="E604" s="2">
        <v>44098</v>
      </c>
      <c r="G604" t="s">
        <v>602</v>
      </c>
      <c r="H604" t="str">
        <f t="shared" si="28"/>
        <v>https://federallibrary.us/DOD/DODI/5240.18/CURRENT/TITLE.html</v>
      </c>
      <c r="I604" t="str">
        <f t="shared" si="29"/>
        <v>&lt;tr&gt; &lt;td&gt; &lt;a href=https://federallibrary.us/DOD/DODI/5240.18/CURRENT/TITLE.html&gt; DODI 5240.18&lt;/a&gt; &lt;/td&gt; &lt;td&gt; Counterintelligence (CI) Analysis and Production &lt;/td&gt; &lt;/tr&gt;</v>
      </c>
    </row>
    <row r="605" spans="1:9" x14ac:dyDescent="0.25">
      <c r="A605" t="s">
        <v>1070</v>
      </c>
      <c r="B605" t="s">
        <v>893</v>
      </c>
      <c r="C605" t="str">
        <f t="shared" si="27"/>
        <v>5240.19</v>
      </c>
      <c r="D605" t="s">
        <v>1157</v>
      </c>
      <c r="E605" s="2">
        <v>44141</v>
      </c>
      <c r="G605" t="s">
        <v>603</v>
      </c>
      <c r="H605" t="str">
        <f t="shared" si="28"/>
        <v>https://federallibrary.us/DOD/DODI/5240.19/CURRENT/TITLE.html</v>
      </c>
      <c r="I605" t="str">
        <f t="shared" si="29"/>
        <v>&lt;tr&gt; &lt;td&gt; &lt;a href=https://federallibrary.us/DOD/DODI/5240.19/CURRENT/TITLE.html&gt; DODI 5240.19&lt;/a&gt; &lt;/td&gt; &lt;td&gt; Counterintelligence Support to the Defense Critical Infrastructure Program (DCIP) &lt;/td&gt; &lt;/tr&gt;</v>
      </c>
    </row>
    <row r="606" spans="1:9" x14ac:dyDescent="0.25">
      <c r="A606" t="s">
        <v>1070</v>
      </c>
      <c r="B606" t="s">
        <v>876</v>
      </c>
      <c r="C606" t="str">
        <f t="shared" si="27"/>
        <v>5240.22</v>
      </c>
      <c r="D606" t="s">
        <v>1157</v>
      </c>
      <c r="E606" s="2">
        <v>44846</v>
      </c>
      <c r="G606" t="s">
        <v>604</v>
      </c>
      <c r="H606" t="str">
        <f t="shared" si="28"/>
        <v>https://federallibrary.us/DOD/DODI/5240.22/CURRENT/TITLE.html</v>
      </c>
      <c r="I606" t="str">
        <f t="shared" si="29"/>
        <v>&lt;tr&gt; &lt;td&gt; &lt;a href=https://federallibrary.us/DOD/DODI/5240.22/CURRENT/TITLE.html&gt; DODI 5240.22&lt;/a&gt; &lt;/td&gt; &lt;td&gt; Counterintelligence Support to Counterterrorism and Force Protection &lt;/td&gt; &lt;/tr&gt;</v>
      </c>
    </row>
    <row r="607" spans="1:9" x14ac:dyDescent="0.25">
      <c r="A607">
        <v>5240</v>
      </c>
      <c r="B607" t="s">
        <v>877</v>
      </c>
      <c r="C607" t="str">
        <f t="shared" si="27"/>
        <v>5240.23</v>
      </c>
      <c r="D607" t="s">
        <v>1157</v>
      </c>
      <c r="E607" s="2">
        <v>43907</v>
      </c>
      <c r="G607" t="s">
        <v>605</v>
      </c>
      <c r="H607" t="str">
        <f t="shared" si="28"/>
        <v>https://federallibrary.us/DOD/DODI/5240.23/CURRENT/TITLE.html</v>
      </c>
      <c r="I607" t="str">
        <f t="shared" si="29"/>
        <v>&lt;tr&gt; &lt;td&gt; &lt;a href=https://federallibrary.us/DOD/DODI/5240.23/CURRENT/TITLE.html&gt; DODI 5240.23&lt;/a&gt; &lt;/td&gt; &lt;td&gt; (U) Counterintelligence (CI) Activities in Cyberspace &lt;/td&gt; &lt;/tr&gt;</v>
      </c>
    </row>
    <row r="608" spans="1:9" x14ac:dyDescent="0.25">
      <c r="A608">
        <v>5240</v>
      </c>
      <c r="B608" t="s">
        <v>878</v>
      </c>
      <c r="C608" t="str">
        <f t="shared" si="27"/>
        <v>5240.24</v>
      </c>
      <c r="D608" t="s">
        <v>1157</v>
      </c>
      <c r="E608" s="2">
        <v>44027</v>
      </c>
      <c r="G608" t="s">
        <v>606</v>
      </c>
      <c r="H608" t="str">
        <f t="shared" si="28"/>
        <v>https://federallibrary.us/DOD/DODI/5240.24/CURRENT/TITLE.html</v>
      </c>
      <c r="I608" t="str">
        <f t="shared" si="29"/>
        <v>&lt;tr&gt; &lt;td&gt; &lt;a href=https://federallibrary.us/DOD/DODI/5240.24/CURRENT/TITLE.html&gt; DODI 5240.24&lt;/a&gt; &lt;/td&gt; &lt;td&gt; Counterintelligence (CI) Activities Supporting Research, Development, and Acquisition (RDA) &lt;/td&gt; &lt;/tr&gt;</v>
      </c>
    </row>
    <row r="609" spans="1:9" x14ac:dyDescent="0.25">
      <c r="A609" t="s">
        <v>1070</v>
      </c>
      <c r="B609" t="s">
        <v>894</v>
      </c>
      <c r="C609" t="str">
        <f t="shared" si="27"/>
        <v>5240.26</v>
      </c>
      <c r="D609" t="s">
        <v>1157</v>
      </c>
      <c r="E609" s="2">
        <v>44172</v>
      </c>
      <c r="G609" t="s">
        <v>607</v>
      </c>
      <c r="H609" t="str">
        <f t="shared" si="28"/>
        <v>https://federallibrary.us/DOD/DODI/5240.26/CURRENT/TITLE.html</v>
      </c>
      <c r="I609" t="str">
        <f t="shared" si="29"/>
        <v>&lt;tr&gt; &lt;td&gt; &lt;a href=https://federallibrary.us/DOD/DODI/5240.26/CURRENT/TITLE.html&gt; DODI 5240.26&lt;/a&gt; &lt;/td&gt; &lt;td&gt; Countering Espionage, International Terrorism, and the Counterintelligence (CI) Insider Threat &lt;/td&gt; &lt;/tr&gt;</v>
      </c>
    </row>
    <row r="610" spans="1:9" x14ac:dyDescent="0.25">
      <c r="A610" t="s">
        <v>1070</v>
      </c>
      <c r="B610" t="s">
        <v>852</v>
      </c>
      <c r="C610" t="str">
        <f t="shared" si="27"/>
        <v>5240.27</v>
      </c>
      <c r="D610" t="s">
        <v>1157</v>
      </c>
      <c r="E610" s="2">
        <v>44106</v>
      </c>
      <c r="G610" t="s">
        <v>608</v>
      </c>
      <c r="H610" t="str">
        <f t="shared" si="28"/>
        <v>https://federallibrary.us/DOD/DODI/5240.27/CURRENT/TITLE.html</v>
      </c>
      <c r="I610" t="str">
        <f t="shared" si="29"/>
        <v>&lt;tr&gt; &lt;td&gt; &lt;a href=https://federallibrary.us/DOD/DODI/5240.27/CURRENT/TITLE.html&gt; DODI 5240.27&lt;/a&gt; &lt;/td&gt; &lt;td&gt; Joint Counterintelligence Training Activity (JCITA) &lt;/td&gt; &lt;/tr&gt;</v>
      </c>
    </row>
    <row r="611" spans="1:9" x14ac:dyDescent="0.25">
      <c r="A611" t="s">
        <v>1071</v>
      </c>
      <c r="B611" t="s">
        <v>868</v>
      </c>
      <c r="C611" t="str">
        <f t="shared" si="27"/>
        <v>5305.05</v>
      </c>
      <c r="D611" t="s">
        <v>1157</v>
      </c>
      <c r="E611" s="2">
        <v>44769</v>
      </c>
      <c r="G611" t="s">
        <v>609</v>
      </c>
      <c r="H611" t="str">
        <f t="shared" si="28"/>
        <v>https://federallibrary.us/DOD/DODI/5305.05/CURRENT/TITLE.html</v>
      </c>
      <c r="I611" t="str">
        <f t="shared" si="29"/>
        <v>&lt;tr&gt; &lt;td&gt; &lt;a href=https://federallibrary.us/DOD/DODI/5305.05/CURRENT/TITLE.html&gt; DODI 5305.05&lt;/a&gt; &lt;/td&gt; &lt;td&gt; Space Management Procedures for the National Capital Region and Washington Headquarters Services-Serviced Components  &lt;/td&gt; &lt;/tr&gt;</v>
      </c>
    </row>
    <row r="612" spans="1:9" x14ac:dyDescent="0.25">
      <c r="A612" t="s">
        <v>1072</v>
      </c>
      <c r="B612" t="s">
        <v>867</v>
      </c>
      <c r="C612" t="str">
        <f t="shared" si="27"/>
        <v>5330.03</v>
      </c>
      <c r="D612" t="s">
        <v>1157</v>
      </c>
      <c r="E612" s="2">
        <v>44323</v>
      </c>
      <c r="G612" t="s">
        <v>610</v>
      </c>
      <c r="H612" t="str">
        <f t="shared" si="28"/>
        <v>https://federallibrary.us/DOD/DODI/5330.03/CURRENT/TITLE.html</v>
      </c>
      <c r="I612" t="str">
        <f t="shared" si="29"/>
        <v>&lt;tr&gt; &lt;td&gt; &lt;a href=https://federallibrary.us/DOD/DODI/5330.03/CURRENT/TITLE.html&gt; DODI 5330.03&lt;/a&gt; &lt;/td&gt; &lt;td&gt; Single Manager of DoD Document Services &lt;/td&gt; &lt;/tr&gt;</v>
      </c>
    </row>
    <row r="613" spans="1:9" x14ac:dyDescent="0.25">
      <c r="A613" t="s">
        <v>1073</v>
      </c>
      <c r="B613" t="s">
        <v>846</v>
      </c>
      <c r="C613" t="str">
        <f t="shared" si="27"/>
        <v>5335.04</v>
      </c>
      <c r="D613" t="s">
        <v>1157</v>
      </c>
      <c r="E613" s="2">
        <v>45099</v>
      </c>
      <c r="G613" t="s">
        <v>611</v>
      </c>
      <c r="H613" t="str">
        <f t="shared" si="28"/>
        <v>https://federallibrary.us/DOD/DODI/5335.04/CURRENT/TITLE.html</v>
      </c>
      <c r="I613" t="str">
        <f t="shared" si="29"/>
        <v>&lt;tr&gt; &lt;td&gt; &lt;a href=https://federallibrary.us/DOD/DODI/5335.04/CURRENT/TITLE.html&gt; DODI 5335.04&lt;/a&gt; &lt;/td&gt; &lt;td&gt; (U) Operation and Management of the Pentagon Helipad &lt;/td&gt; &lt;/tr&gt;</v>
      </c>
    </row>
    <row r="614" spans="1:9" x14ac:dyDescent="0.25">
      <c r="A614" t="s">
        <v>1074</v>
      </c>
      <c r="B614" t="s">
        <v>846</v>
      </c>
      <c r="C614" t="str">
        <f t="shared" si="27"/>
        <v>5400.04</v>
      </c>
      <c r="D614" t="s">
        <v>1157</v>
      </c>
      <c r="E614" s="2">
        <v>39889</v>
      </c>
      <c r="G614" t="s">
        <v>612</v>
      </c>
      <c r="H614" t="str">
        <f t="shared" si="28"/>
        <v>https://federallibrary.us/DOD/DODI/5400.04/CURRENT/TITLE.html</v>
      </c>
      <c r="I614" t="str">
        <f t="shared" si="29"/>
        <v>&lt;tr&gt; &lt;td&gt; &lt;a href=https://federallibrary.us/DOD/DODI/5400.04/CURRENT/TITLE.html&gt; DODI 5400.04&lt;/a&gt; &lt;/td&gt; &lt;td&gt; Provision of Information to Congress &lt;/td&gt; &lt;/tr&gt;</v>
      </c>
    </row>
    <row r="615" spans="1:9" x14ac:dyDescent="0.25">
      <c r="A615" t="s">
        <v>1074</v>
      </c>
      <c r="B615" t="s">
        <v>847</v>
      </c>
      <c r="C615" t="str">
        <f t="shared" si="27"/>
        <v>5400.11</v>
      </c>
      <c r="D615" t="s">
        <v>1157</v>
      </c>
      <c r="E615" s="2">
        <v>44173</v>
      </c>
      <c r="G615" t="s">
        <v>613</v>
      </c>
      <c r="H615" t="str">
        <f t="shared" si="28"/>
        <v>https://federallibrary.us/DOD/DODI/5400.11/CURRENT/TITLE.html</v>
      </c>
      <c r="I615" t="str">
        <f t="shared" si="29"/>
        <v>&lt;tr&gt; &lt;td&gt; &lt;a href=https://federallibrary.us/DOD/DODI/5400.11/CURRENT/TITLE.html&gt; DODI 5400.11&lt;/a&gt; &lt;/td&gt; &lt;td&gt; DoD Privacy and Civil Liberties Programs &lt;/td&gt; &lt;/tr&gt;</v>
      </c>
    </row>
    <row r="616" spans="1:9" x14ac:dyDescent="0.25">
      <c r="A616" t="s">
        <v>1074</v>
      </c>
      <c r="B616" t="s">
        <v>848</v>
      </c>
      <c r="C616" t="str">
        <f t="shared" si="27"/>
        <v>5400.13</v>
      </c>
      <c r="D616" t="s">
        <v>1157</v>
      </c>
      <c r="E616" s="2">
        <v>39736</v>
      </c>
      <c r="G616" t="s">
        <v>614</v>
      </c>
      <c r="H616" t="str">
        <f t="shared" si="28"/>
        <v>https://federallibrary.us/DOD/DODI/5400.13/CURRENT/TITLE.html</v>
      </c>
      <c r="I616" t="str">
        <f t="shared" si="29"/>
        <v>&lt;tr&gt; &lt;td&gt; &lt;a href=https://federallibrary.us/DOD/DODI/5400.13/CURRENT/TITLE.html&gt; DODI 5400.13&lt;/a&gt; &lt;/td&gt; &lt;td&gt; Public Affairs (PA) Operations &lt;/td&gt; &lt;/tr&gt;</v>
      </c>
    </row>
    <row r="617" spans="1:9" x14ac:dyDescent="0.25">
      <c r="A617" t="s">
        <v>1074</v>
      </c>
      <c r="B617" t="s">
        <v>859</v>
      </c>
      <c r="C617" t="str">
        <f t="shared" si="27"/>
        <v>5400.14</v>
      </c>
      <c r="D617" t="s">
        <v>1157</v>
      </c>
      <c r="E617" s="2">
        <v>41946</v>
      </c>
      <c r="G617" t="s">
        <v>615</v>
      </c>
      <c r="H617" t="str">
        <f t="shared" si="28"/>
        <v>https://federallibrary.us/DOD/DODI/5400.14/CURRENT/TITLE.html</v>
      </c>
      <c r="I617" t="str">
        <f t="shared" si="29"/>
        <v>&lt;tr&gt; &lt;td&gt; &lt;a href=https://federallibrary.us/DOD/DODI/5400.14/CURRENT/TITLE.html&gt; DODI 5400.14&lt;/a&gt; &lt;/td&gt; &lt;td&gt; Procedures for Joint Public Affairs Operations &lt;/td&gt; &lt;/tr&gt;</v>
      </c>
    </row>
    <row r="618" spans="1:9" x14ac:dyDescent="0.25">
      <c r="A618" t="s">
        <v>1074</v>
      </c>
      <c r="B618" t="s">
        <v>849</v>
      </c>
      <c r="C618" t="str">
        <f t="shared" si="27"/>
        <v>5400.15</v>
      </c>
      <c r="D618" t="s">
        <v>1157</v>
      </c>
      <c r="E618" s="2">
        <v>39266</v>
      </c>
      <c r="G618" t="s">
        <v>616</v>
      </c>
      <c r="H618" t="str">
        <f t="shared" si="28"/>
        <v>https://federallibrary.us/DOD/DODI/5400.15/CURRENT/TITLE.html</v>
      </c>
      <c r="I618" t="str">
        <f t="shared" si="29"/>
        <v>&lt;tr&gt; &lt;td&gt; &lt;a href=https://federallibrary.us/DOD/DODI/5400.15/CURRENT/TITLE.html&gt; DODI 5400.15&lt;/a&gt; &lt;/td&gt; &lt;td&gt; Guidance on Obtaining Information from Financial Institutions &lt;/td&gt; &lt;/tr&gt;</v>
      </c>
    </row>
    <row r="619" spans="1:9" x14ac:dyDescent="0.25">
      <c r="A619" t="s">
        <v>1074</v>
      </c>
      <c r="B619" t="s">
        <v>860</v>
      </c>
      <c r="C619" t="str">
        <f t="shared" si="27"/>
        <v>5400.16</v>
      </c>
      <c r="D619" t="s">
        <v>1157</v>
      </c>
      <c r="E619" s="2">
        <v>42958</v>
      </c>
      <c r="G619" t="s">
        <v>617</v>
      </c>
      <c r="H619" t="str">
        <f t="shared" si="28"/>
        <v>https://federallibrary.us/DOD/DODI/5400.16/CURRENT/TITLE.html</v>
      </c>
      <c r="I619" t="str">
        <f t="shared" si="29"/>
        <v>&lt;tr&gt; &lt;td&gt; &lt;a href=https://federallibrary.us/DOD/DODI/5400.16/CURRENT/TITLE.html&gt; DODI 5400.16&lt;/a&gt; &lt;/td&gt; &lt;td&gt; DoD Privacy Impact Assessment (PIA) Guidance &lt;/td&gt; &lt;/tr&gt;</v>
      </c>
    </row>
    <row r="620" spans="1:9" x14ac:dyDescent="0.25">
      <c r="A620" t="s">
        <v>1074</v>
      </c>
      <c r="B620" t="s">
        <v>850</v>
      </c>
      <c r="C620" t="str">
        <f t="shared" si="27"/>
        <v>5400.17</v>
      </c>
      <c r="D620" t="s">
        <v>1157</v>
      </c>
      <c r="E620" s="2">
        <v>44950</v>
      </c>
      <c r="G620" t="s">
        <v>618</v>
      </c>
      <c r="H620" t="str">
        <f t="shared" si="28"/>
        <v>https://federallibrary.us/DOD/DODI/5400.17/CURRENT/TITLE.html</v>
      </c>
      <c r="I620" t="str">
        <f t="shared" si="29"/>
        <v>&lt;tr&gt; &lt;td&gt; &lt;a href=https://federallibrary.us/DOD/DODI/5400.17/CURRENT/TITLE.html&gt; DODI 5400.17&lt;/a&gt; &lt;/td&gt; &lt;td&gt; Official Use of Social Media for Public Affairs Purposes &lt;/td&gt; &lt;/tr&gt;</v>
      </c>
    </row>
    <row r="621" spans="1:9" x14ac:dyDescent="0.25">
      <c r="A621" t="s">
        <v>1074</v>
      </c>
      <c r="B621" t="s">
        <v>884</v>
      </c>
      <c r="C621" t="str">
        <f t="shared" si="27"/>
        <v>5400.18</v>
      </c>
      <c r="D621" t="s">
        <v>1157</v>
      </c>
      <c r="E621" s="2">
        <v>45260</v>
      </c>
      <c r="G621" t="s">
        <v>619</v>
      </c>
      <c r="H621" t="str">
        <f t="shared" si="28"/>
        <v>https://federallibrary.us/DOD/DODI/5400.18/CURRENT/TITLE.html</v>
      </c>
      <c r="I621" t="str">
        <f t="shared" si="29"/>
        <v>&lt;tr&gt; &lt;td&gt; &lt;a href=https://federallibrary.us/DOD/DODI/5400.18/CURRENT/TITLE.html&gt; DODI 5400.18&lt;/a&gt; &lt;/td&gt; &lt;td&gt;  Public Affairs Procedures And Operations For Political Campaigns And Elections &lt;/td&gt; &lt;/tr&gt;</v>
      </c>
    </row>
    <row r="622" spans="1:9" x14ac:dyDescent="0.25">
      <c r="A622" t="s">
        <v>1075</v>
      </c>
      <c r="B622" t="s">
        <v>867</v>
      </c>
      <c r="C622" t="str">
        <f t="shared" si="27"/>
        <v>5405.03</v>
      </c>
      <c r="D622" t="s">
        <v>1157</v>
      </c>
      <c r="E622" s="2">
        <v>42418</v>
      </c>
      <c r="G622" t="s">
        <v>620</v>
      </c>
      <c r="H622" t="str">
        <f t="shared" si="28"/>
        <v>https://federallibrary.us/DOD/DODI/5405.03/CURRENT/TITLE.html</v>
      </c>
      <c r="I622" t="str">
        <f t="shared" si="29"/>
        <v>&lt;tr&gt; &lt;td&gt; &lt;a href=https://federallibrary.us/DOD/DODI/5405.03/CURRENT/TITLE.html&gt; DODI 5405.03&lt;/a&gt; &lt;/td&gt; &lt;td&gt; Development, Submission, and Approval of Proposed Public Affairs Guidance (PPAG) &lt;/td&gt; &lt;/tr&gt;</v>
      </c>
    </row>
    <row r="623" spans="1:9" x14ac:dyDescent="0.25">
      <c r="A623" t="s">
        <v>1076</v>
      </c>
      <c r="B623" t="s">
        <v>845</v>
      </c>
      <c r="C623" t="str">
        <f t="shared" si="27"/>
        <v>5410.01</v>
      </c>
      <c r="D623" t="s">
        <v>1157</v>
      </c>
      <c r="E623" s="2">
        <v>39966</v>
      </c>
      <c r="G623" t="s">
        <v>621</v>
      </c>
      <c r="H623" t="str">
        <f t="shared" si="28"/>
        <v>https://federallibrary.us/DOD/DODI/5410.01/CURRENT/TITLE.html</v>
      </c>
      <c r="I623" t="str">
        <f t="shared" si="29"/>
        <v>&lt;tr&gt; &lt;td&gt; &lt;a href=https://federallibrary.us/DOD/DODI/5410.01/CURRENT/TITLE.html&gt; DODI 5410.01&lt;/a&gt; &lt;/td&gt; &lt;td&gt; Release of Information Concerning Accidents Involving Military Personnel Or Equipment Or Concerning Senior Personnel &lt;/td&gt; &lt;/tr&gt;</v>
      </c>
    </row>
    <row r="624" spans="1:9" x14ac:dyDescent="0.25">
      <c r="A624" t="s">
        <v>1076</v>
      </c>
      <c r="B624" t="s">
        <v>860</v>
      </c>
      <c r="C624" t="str">
        <f t="shared" si="27"/>
        <v>5410.16</v>
      </c>
      <c r="D624" t="s">
        <v>1157</v>
      </c>
      <c r="E624" s="2">
        <v>45105</v>
      </c>
      <c r="G624" t="s">
        <v>622</v>
      </c>
      <c r="H624" t="str">
        <f t="shared" si="28"/>
        <v>https://federallibrary.us/DOD/DODI/5410.16/CURRENT/TITLE.html</v>
      </c>
      <c r="I624" t="str">
        <f t="shared" si="29"/>
        <v>&lt;tr&gt; &lt;td&gt; &lt;a href=https://federallibrary.us/DOD/DODI/5410.16/CURRENT/TITLE.html&gt; DODI 5410.16&lt;/a&gt; &lt;/td&gt; &lt;td&gt; DoD Assistance to Non-Government, Entertainment-Oriented Media Productions &lt;/td&gt; &lt;/tr&gt;</v>
      </c>
    </row>
    <row r="625" spans="1:9" x14ac:dyDescent="0.25">
      <c r="A625" t="s">
        <v>1076</v>
      </c>
      <c r="B625" t="s">
        <v>850</v>
      </c>
      <c r="C625" t="str">
        <f t="shared" si="27"/>
        <v>5410.17</v>
      </c>
      <c r="D625" t="s">
        <v>1157</v>
      </c>
      <c r="E625" s="2">
        <v>38975</v>
      </c>
      <c r="G625" t="s">
        <v>623</v>
      </c>
      <c r="H625" t="str">
        <f t="shared" si="28"/>
        <v>https://federallibrary.us/DOD/DODI/5410.17/CURRENT/TITLE.html</v>
      </c>
      <c r="I625" t="str">
        <f t="shared" si="29"/>
        <v>&lt;tr&gt; &lt;td&gt; &lt;a href=https://federallibrary.us/DOD/DODI/5410.17/CURRENT/TITLE.html&gt; DODI 5410.17&lt;/a&gt; &lt;/td&gt; &lt;td&gt; United States Field Studies Program (FSP) for International Military and Civilian Students and Military-Sponsored Visitors &lt;/td&gt; &lt;/tr&gt;</v>
      </c>
    </row>
    <row r="626" spans="1:9" x14ac:dyDescent="0.25">
      <c r="A626" t="s">
        <v>1076</v>
      </c>
      <c r="B626" t="s">
        <v>1153</v>
      </c>
      <c r="C626" t="str">
        <f t="shared" si="27"/>
        <v>5410.19VOL1</v>
      </c>
      <c r="D626" t="s">
        <v>1157</v>
      </c>
      <c r="E626" s="2">
        <v>44468</v>
      </c>
      <c r="G626" t="s">
        <v>624</v>
      </c>
      <c r="H626" t="str">
        <f t="shared" si="28"/>
        <v>https://federallibrary.us/DOD/DODI/5410.19VOL1/CURRENT/TITLE.html</v>
      </c>
      <c r="I626" t="str">
        <f t="shared" si="29"/>
        <v>&lt;tr&gt; &lt;td&gt; &lt;a href=https://federallibrary.us/DOD/DODI/5410.19VOL1/CURRENT/TITLE.html&gt; DODI 5410.19VOL1&lt;/a&gt; &lt;/td&gt; &lt;td&gt; Community Outreach Activities: Policy Overview and Evaluation Procedures &lt;/td&gt; &lt;/tr&gt;</v>
      </c>
    </row>
    <row r="627" spans="1:9" x14ac:dyDescent="0.25">
      <c r="A627" t="s">
        <v>1076</v>
      </c>
      <c r="B627" t="s">
        <v>1154</v>
      </c>
      <c r="C627" t="str">
        <f t="shared" si="27"/>
        <v>5410.19VOL2</v>
      </c>
      <c r="D627" t="s">
        <v>1157</v>
      </c>
      <c r="E627" s="2">
        <v>44468</v>
      </c>
      <c r="G627" t="s">
        <v>625</v>
      </c>
      <c r="H627" t="str">
        <f t="shared" si="28"/>
        <v>https://federallibrary.us/DOD/DODI/5410.19VOL2/CURRENT/TITLE.html</v>
      </c>
      <c r="I627" t="str">
        <f t="shared" si="29"/>
        <v>&lt;tr&gt; &lt;td&gt; &lt;a href=https://federallibrary.us/DOD/DODI/5410.19VOL2/CURRENT/TITLE.html&gt; DODI 5410.19VOL2&lt;/a&gt; &lt;/td&gt; &lt;td&gt; Community Outreach Activities: OSD Outreach Programs, Speaking Engagements, and Support to Non-DoD Organizations &lt;/td&gt; &lt;/tr&gt;</v>
      </c>
    </row>
    <row r="628" spans="1:9" x14ac:dyDescent="0.25">
      <c r="A628" t="s">
        <v>1076</v>
      </c>
      <c r="B628" t="s">
        <v>1155</v>
      </c>
      <c r="C628" t="str">
        <f t="shared" si="27"/>
        <v>5410.19VOL3</v>
      </c>
      <c r="D628" t="s">
        <v>1157</v>
      </c>
      <c r="E628" s="2">
        <v>44468</v>
      </c>
      <c r="G628" t="s">
        <v>626</v>
      </c>
      <c r="H628" t="str">
        <f t="shared" si="28"/>
        <v>https://federallibrary.us/DOD/DODI/5410.19VOL3/CURRENT/TITLE.html</v>
      </c>
      <c r="I628" t="str">
        <f t="shared" si="29"/>
        <v>&lt;tr&gt; &lt;td&gt; &lt;a href=https://federallibrary.us/DOD/DODI/5410.19VOL3/CURRENT/TITLE.html&gt; DODI 5410.19VOL3&lt;/a&gt; &lt;/td&gt; &lt;td&gt; Community Outreach Activities: Honors to National Symbols; Annual Patriotic and Military Observances &lt;/td&gt; &lt;/tr&gt;</v>
      </c>
    </row>
    <row r="629" spans="1:9" x14ac:dyDescent="0.25">
      <c r="A629" t="s">
        <v>1076</v>
      </c>
      <c r="B629" t="s">
        <v>1156</v>
      </c>
      <c r="C629" t="str">
        <f t="shared" si="27"/>
        <v>5410.19VOL4</v>
      </c>
      <c r="D629" t="s">
        <v>1157</v>
      </c>
      <c r="E629" s="2">
        <v>44468</v>
      </c>
      <c r="G629" t="s">
        <v>627</v>
      </c>
      <c r="H629" t="str">
        <f t="shared" si="28"/>
        <v>https://federallibrary.us/DOD/DODI/5410.19VOL4/CURRENT/TITLE.html</v>
      </c>
      <c r="I629" t="str">
        <f t="shared" si="29"/>
        <v>&lt;tr&gt; &lt;td&gt; &lt;a href=https://federallibrary.us/DOD/DODI/5410.19VOL4/CURRENT/TITLE.html&gt; DODI 5410.19VOL4&lt;/a&gt; &lt;/td&gt; &lt;td&gt; Community Outreach Activities: Ceremonial, Musical, and Aerial Event Support &lt;/td&gt; &lt;/tr&gt;</v>
      </c>
    </row>
    <row r="630" spans="1:9" x14ac:dyDescent="0.25">
      <c r="A630" t="s">
        <v>1077</v>
      </c>
      <c r="B630" t="s">
        <v>859</v>
      </c>
      <c r="C630" t="str">
        <f t="shared" si="27"/>
        <v>5500.14</v>
      </c>
      <c r="D630" t="s">
        <v>1157</v>
      </c>
      <c r="E630" s="2">
        <v>38721</v>
      </c>
      <c r="G630" t="s">
        <v>628</v>
      </c>
      <c r="H630" t="str">
        <f t="shared" si="28"/>
        <v>https://federallibrary.us/DOD/DODI/5500.14/CURRENT/TITLE.html</v>
      </c>
      <c r="I630" t="str">
        <f t="shared" si="29"/>
        <v>&lt;tr&gt; &lt;td&gt; &lt;a href=https://federallibrary.us/DOD/DODI/5500.14/CURRENT/TITLE.html&gt; DODI 5500.14&lt;/a&gt; &lt;/td&gt; &lt;td&gt; Naturalization of Aliens Serving in the Armed Forces of the United States and of Alien Spouses and/or Alien Adopted Children of Military and Civilian Personnel Ordered Overseas &lt;/td&gt; &lt;/tr&gt;</v>
      </c>
    </row>
    <row r="631" spans="1:9" x14ac:dyDescent="0.25">
      <c r="A631" t="s">
        <v>1077</v>
      </c>
      <c r="B631" t="s">
        <v>860</v>
      </c>
      <c r="C631" t="str">
        <f t="shared" si="27"/>
        <v>5500.16</v>
      </c>
      <c r="D631" t="s">
        <v>1157</v>
      </c>
      <c r="E631" s="2">
        <v>43235</v>
      </c>
      <c r="G631" t="s">
        <v>629</v>
      </c>
      <c r="H631" t="str">
        <f t="shared" si="28"/>
        <v>https://federallibrary.us/DOD/DODI/5500.16/CURRENT/TITLE.html</v>
      </c>
      <c r="I631" t="str">
        <f t="shared" si="29"/>
        <v>&lt;tr&gt; &lt;td&gt; &lt;a href=https://federallibrary.us/DOD/DODI/5500.16/CURRENT/TITLE.html&gt; DODI 5500.16&lt;/a&gt; &lt;/td&gt; &lt;td&gt; Relationship with the Surveys and Investigations (S&amp;I) Staff, House Appropriations Committee &lt;/td&gt; &lt;/tr&gt;</v>
      </c>
    </row>
    <row r="632" spans="1:9" x14ac:dyDescent="0.25">
      <c r="A632" t="s">
        <v>1077</v>
      </c>
      <c r="B632" t="s">
        <v>850</v>
      </c>
      <c r="C632" t="str">
        <f t="shared" si="27"/>
        <v>5500.17</v>
      </c>
      <c r="D632" t="s">
        <v>1157</v>
      </c>
      <c r="E632" s="2">
        <v>43152</v>
      </c>
      <c r="G632" t="s">
        <v>630</v>
      </c>
      <c r="H632" t="str">
        <f t="shared" si="28"/>
        <v>https://federallibrary.us/DOD/DODI/5500.17/CURRENT/TITLE.html</v>
      </c>
      <c r="I632" t="str">
        <f t="shared" si="29"/>
        <v>&lt;tr&gt; &lt;td&gt; &lt;a href=https://federallibrary.us/DOD/DODI/5500.17/CURRENT/TITLE.html&gt; DODI 5500.17&lt;/a&gt; &lt;/td&gt; &lt;td&gt; Role and Responsibilities of the Joint Service Committee on Military Justice (JSC) &lt;/td&gt; &lt;/tr&gt;</v>
      </c>
    </row>
    <row r="633" spans="1:9" x14ac:dyDescent="0.25">
      <c r="A633" t="s">
        <v>1078</v>
      </c>
      <c r="B633" t="s">
        <v>870</v>
      </c>
      <c r="C633" t="str">
        <f t="shared" si="27"/>
        <v>5505.02</v>
      </c>
      <c r="D633" t="s">
        <v>1157</v>
      </c>
      <c r="E633" s="2">
        <v>42531</v>
      </c>
      <c r="G633" t="s">
        <v>631</v>
      </c>
      <c r="H633" t="str">
        <f t="shared" si="28"/>
        <v>https://federallibrary.us/DOD/DODI/5505.02/CURRENT/TITLE.html</v>
      </c>
      <c r="I633" t="str">
        <f t="shared" si="29"/>
        <v>&lt;tr&gt; &lt;td&gt; &lt;a href=https://federallibrary.us/DOD/DODI/5505.02/CURRENT/TITLE.html&gt; DODI 5505.02&lt;/a&gt; &lt;/td&gt; &lt;td&gt; Criminal Investigations of Fraud Offenses &lt;/td&gt; &lt;/tr&gt;</v>
      </c>
    </row>
    <row r="634" spans="1:9" x14ac:dyDescent="0.25">
      <c r="A634" t="s">
        <v>1078</v>
      </c>
      <c r="B634" t="s">
        <v>867</v>
      </c>
      <c r="C634" t="str">
        <f t="shared" si="27"/>
        <v>5505.03</v>
      </c>
      <c r="D634" t="s">
        <v>1157</v>
      </c>
      <c r="E634" s="2">
        <v>45140</v>
      </c>
      <c r="G634" t="s">
        <v>632</v>
      </c>
      <c r="H634" t="str">
        <f t="shared" si="28"/>
        <v>https://federallibrary.us/DOD/DODI/5505.03/CURRENT/TITLE.html</v>
      </c>
      <c r="I634" t="str">
        <f t="shared" si="29"/>
        <v>&lt;tr&gt; &lt;td&gt; &lt;a href=https://federallibrary.us/DOD/DODI/5505.03/CURRENT/TITLE.html&gt; DODI 5505.03&lt;/a&gt; &lt;/td&gt; &lt;td&gt; Initiation of Investigations by Defense Criminal Investigative Organizations &lt;/td&gt; &lt;/tr&gt;</v>
      </c>
    </row>
    <row r="635" spans="1:9" x14ac:dyDescent="0.25">
      <c r="A635" t="s">
        <v>1078</v>
      </c>
      <c r="B635" t="s">
        <v>871</v>
      </c>
      <c r="C635" t="str">
        <f t="shared" si="27"/>
        <v>5505.07</v>
      </c>
      <c r="D635" t="s">
        <v>1157</v>
      </c>
      <c r="E635" s="2">
        <v>45146</v>
      </c>
      <c r="G635" t="s">
        <v>633</v>
      </c>
      <c r="H635" t="str">
        <f t="shared" si="28"/>
        <v>https://federallibrary.us/DOD/DODI/5505.07/CURRENT/TITLE.html</v>
      </c>
      <c r="I635" t="str">
        <f t="shared" si="29"/>
        <v>&lt;tr&gt; &lt;td&gt; &lt;a href=https://federallibrary.us/DOD/DODI/5505.07/CURRENT/TITLE.html&gt; DODI 5505.07&lt;/a&gt; &lt;/td&gt; &lt;td&gt;  Titling and Indexing by DoD Law Enforcement Activities &lt;/td&gt; &lt;/tr&gt;</v>
      </c>
    </row>
    <row r="636" spans="1:9" x14ac:dyDescent="0.25">
      <c r="A636" t="s">
        <v>1078</v>
      </c>
      <c r="B636" t="s">
        <v>862</v>
      </c>
      <c r="C636" t="str">
        <f t="shared" si="27"/>
        <v>5505.09</v>
      </c>
      <c r="D636" t="s">
        <v>1157</v>
      </c>
      <c r="E636" s="2">
        <v>45160</v>
      </c>
      <c r="G636" t="s">
        <v>634</v>
      </c>
      <c r="H636" t="str">
        <f t="shared" si="28"/>
        <v>https://federallibrary.us/DOD/DODI/5505.09/CURRENT/TITLE.html</v>
      </c>
      <c r="I636" t="str">
        <f t="shared" si="29"/>
        <v>&lt;tr&gt; &lt;td&gt; &lt;a href=https://federallibrary.us/DOD/DODI/5505.09/CURRENT/TITLE.html&gt; DODI 5505.09&lt;/a&gt; &lt;/td&gt; &lt;td&gt; Communication Interception for Law Enforcement  &lt;/td&gt; &lt;/tr&gt;</v>
      </c>
    </row>
    <row r="637" spans="1:9" x14ac:dyDescent="0.25">
      <c r="A637" t="s">
        <v>1078</v>
      </c>
      <c r="B637" t="s">
        <v>863</v>
      </c>
      <c r="C637" t="str">
        <f t="shared" si="27"/>
        <v>5505.10</v>
      </c>
      <c r="D637" t="s">
        <v>1157</v>
      </c>
      <c r="E637" s="2">
        <v>45001</v>
      </c>
      <c r="G637" t="s">
        <v>635</v>
      </c>
      <c r="H637" t="str">
        <f t="shared" si="28"/>
        <v>https://federallibrary.us/DOD/DODI/5505.10/CURRENT/TITLE.html</v>
      </c>
      <c r="I637" t="str">
        <f t="shared" si="29"/>
        <v>&lt;tr&gt; &lt;td&gt; &lt;a href=https://federallibrary.us/DOD/DODI/5505.10/CURRENT/TITLE.html&gt; DODI 5505.10&lt;/a&gt; &lt;/td&gt; &lt;td&gt; Criminal Investigations of Noncombat Deaths &lt;/td&gt; &lt;/tr&gt;</v>
      </c>
    </row>
    <row r="638" spans="1:9" x14ac:dyDescent="0.25">
      <c r="A638" t="s">
        <v>1078</v>
      </c>
      <c r="B638" t="s">
        <v>847</v>
      </c>
      <c r="C638" t="str">
        <f t="shared" si="27"/>
        <v>5505.11</v>
      </c>
      <c r="D638" t="s">
        <v>1157</v>
      </c>
      <c r="E638" s="2">
        <v>43769</v>
      </c>
      <c r="G638" t="s">
        <v>636</v>
      </c>
      <c r="H638" t="str">
        <f t="shared" si="28"/>
        <v>https://federallibrary.us/DOD/DODI/5505.11/CURRENT/TITLE.html</v>
      </c>
      <c r="I638" t="str">
        <f t="shared" si="29"/>
        <v>&lt;tr&gt; &lt;td&gt; &lt;a href=https://federallibrary.us/DOD/DODI/5505.11/CURRENT/TITLE.html&gt; DODI 5505.11&lt;/a&gt; &lt;/td&gt; &lt;td&gt; Fingerprint Reporting Requirements &lt;/td&gt; &lt;/tr&gt;</v>
      </c>
    </row>
    <row r="639" spans="1:9" x14ac:dyDescent="0.25">
      <c r="A639" t="s">
        <v>1078</v>
      </c>
      <c r="B639" t="s">
        <v>886</v>
      </c>
      <c r="C639" t="str">
        <f t="shared" si="27"/>
        <v>5505.12</v>
      </c>
      <c r="D639" t="s">
        <v>1157</v>
      </c>
      <c r="E639" s="2">
        <v>44762</v>
      </c>
      <c r="G639" t="s">
        <v>637</v>
      </c>
      <c r="H639" t="str">
        <f t="shared" si="28"/>
        <v>https://federallibrary.us/DOD/DODI/5505.12/CURRENT/TITLE.html</v>
      </c>
      <c r="I639" t="str">
        <f t="shared" si="29"/>
        <v>&lt;tr&gt; &lt;td&gt; &lt;a href=https://federallibrary.us/DOD/DODI/5505.12/CURRENT/TITLE.html&gt; DODI 5505.12&lt;/a&gt; &lt;/td&gt; &lt;td&gt; Anti-Fraud Program at Military Treatment Facilities (MTFs) &lt;/td&gt; &lt;/tr&gt;</v>
      </c>
    </row>
    <row r="640" spans="1:9" x14ac:dyDescent="0.25">
      <c r="A640" t="s">
        <v>1078</v>
      </c>
      <c r="B640" t="s">
        <v>859</v>
      </c>
      <c r="C640" t="str">
        <f t="shared" si="27"/>
        <v>5505.14</v>
      </c>
      <c r="D640" t="s">
        <v>1157</v>
      </c>
      <c r="E640" s="2">
        <v>44656</v>
      </c>
      <c r="G640" t="s">
        <v>638</v>
      </c>
      <c r="H640" t="str">
        <f t="shared" si="28"/>
        <v>https://federallibrary.us/DOD/DODI/5505.14/CURRENT/TITLE.html</v>
      </c>
      <c r="I640" t="str">
        <f t="shared" si="29"/>
        <v>&lt;tr&gt; &lt;td&gt; &lt;a href=https://federallibrary.us/DOD/DODI/5505.14/CURRENT/TITLE.html&gt; DODI 5505.14&lt;/a&gt; &lt;/td&gt; &lt;td&gt; DNA Collection and Submission Requirements for Law Enforcement &lt;/td&gt; &lt;/tr&gt;</v>
      </c>
    </row>
    <row r="641" spans="1:9" x14ac:dyDescent="0.25">
      <c r="A641" t="s">
        <v>1078</v>
      </c>
      <c r="B641" t="s">
        <v>849</v>
      </c>
      <c r="C641" t="str">
        <f t="shared" si="27"/>
        <v>5505.15</v>
      </c>
      <c r="D641" t="s">
        <v>1157</v>
      </c>
      <c r="E641" s="2">
        <v>44865</v>
      </c>
      <c r="G641" t="s">
        <v>639</v>
      </c>
      <c r="H641" t="str">
        <f t="shared" si="28"/>
        <v>https://federallibrary.us/DOD/DODI/5505.15/CURRENT/TITLE.html</v>
      </c>
      <c r="I641" t="str">
        <f t="shared" si="29"/>
        <v>&lt;tr&gt; &lt;td&gt; &lt;a href=https://federallibrary.us/DOD/DODI/5505.15/CURRENT/TITLE.html&gt; DODI 5505.15&lt;/a&gt; &lt;/td&gt; &lt;td&gt; DoD Contractor Disclosure Program &lt;/td&gt; &lt;/tr&gt;</v>
      </c>
    </row>
    <row r="642" spans="1:9" x14ac:dyDescent="0.25">
      <c r="A642" t="s">
        <v>1078</v>
      </c>
      <c r="B642" t="s">
        <v>860</v>
      </c>
      <c r="C642" t="str">
        <f t="shared" si="27"/>
        <v>5505.16</v>
      </c>
      <c r="D642" t="s">
        <v>1157</v>
      </c>
      <c r="E642" s="2">
        <v>42909</v>
      </c>
      <c r="G642" t="s">
        <v>640</v>
      </c>
      <c r="H642" t="str">
        <f t="shared" si="28"/>
        <v>https://federallibrary.us/DOD/DODI/5505.16/CURRENT/TITLE.html</v>
      </c>
      <c r="I642" t="str">
        <f t="shared" si="29"/>
        <v>&lt;tr&gt; &lt;td&gt; &lt;a href=https://federallibrary.us/DOD/DODI/5505.16/CURRENT/TITLE.html&gt; DODI 5505.16&lt;/a&gt; &lt;/td&gt; &lt;td&gt; Investigations by DoD Components &lt;/td&gt; &lt;/tr&gt;</v>
      </c>
    </row>
    <row r="643" spans="1:9" x14ac:dyDescent="0.25">
      <c r="A643" t="s">
        <v>1078</v>
      </c>
      <c r="B643" t="s">
        <v>850</v>
      </c>
      <c r="C643" t="str">
        <f t="shared" ref="C643:C706" si="30">_xlfn.CONCAT(A643,".",B643)</f>
        <v>5505.17</v>
      </c>
      <c r="D643" t="s">
        <v>1157</v>
      </c>
      <c r="E643" s="2">
        <v>45160</v>
      </c>
      <c r="G643" t="s">
        <v>641</v>
      </c>
      <c r="H643" t="str">
        <f t="shared" ref="H643:H706" si="31">IF(D643="CURRENT",_xlfn.CONCAT("https://federallibrary.us/DOD/DODI/",C643,"/CURRENT/TITLE.html"),"")</f>
        <v>https://federallibrary.us/DOD/DODI/5505.17/CURRENT/TITLE.html</v>
      </c>
      <c r="I643" t="str">
        <f t="shared" ref="I643:I706" si="32">IF(D643="CURRENT",_xlfn.CONCAT("&lt;tr&gt; &lt;td&gt; &lt;a href=",H643,"&gt; DODI ",C643, "&lt;/a&gt; &lt;/td&gt; &lt;td&gt; ", G643, " &lt;/td&gt; &lt;/tr&gt;"),"")</f>
        <v>&lt;tr&gt; &lt;td&gt; &lt;a href=https://federallibrary.us/DOD/DODI/5505.17/CURRENT/TITLE.html&gt; DODI 5505.17&lt;/a&gt; &lt;/td&gt; &lt;td&gt; Personally Identifiable Information and Law Enforcement Information Handling by DoD Law Enforcement Activities &lt;/td&gt; &lt;/tr&gt;</v>
      </c>
    </row>
    <row r="644" spans="1:9" x14ac:dyDescent="0.25">
      <c r="A644" t="s">
        <v>1078</v>
      </c>
      <c r="B644" t="s">
        <v>884</v>
      </c>
      <c r="C644" t="str">
        <f t="shared" si="30"/>
        <v>5505.18</v>
      </c>
      <c r="D644" t="s">
        <v>1157</v>
      </c>
      <c r="E644" s="2">
        <v>44810</v>
      </c>
      <c r="G644" t="s">
        <v>642</v>
      </c>
      <c r="H644" t="str">
        <f t="shared" si="31"/>
        <v>https://federallibrary.us/DOD/DODI/5505.18/CURRENT/TITLE.html</v>
      </c>
      <c r="I644" t="str">
        <f t="shared" si="32"/>
        <v>&lt;tr&gt; &lt;td&gt; &lt;a href=https://federallibrary.us/DOD/DODI/5505.18/CURRENT/TITLE.html&gt; DODI 5505.18&lt;/a&gt; &lt;/td&gt; &lt;td&gt; Investigation of Adult Sexual Assault in the Department of Defense &lt;/td&gt; &lt;/tr&gt;</v>
      </c>
    </row>
    <row r="645" spans="1:9" x14ac:dyDescent="0.25">
      <c r="A645" t="s">
        <v>1078</v>
      </c>
      <c r="B645" t="s">
        <v>893</v>
      </c>
      <c r="C645" t="str">
        <f t="shared" si="30"/>
        <v>5505.19</v>
      </c>
      <c r="D645" t="s">
        <v>1157</v>
      </c>
      <c r="E645" s="2">
        <v>42817</v>
      </c>
      <c r="G645" t="s">
        <v>643</v>
      </c>
      <c r="H645" t="str">
        <f t="shared" si="31"/>
        <v>https://federallibrary.us/DOD/DODI/5505.19/CURRENT/TITLE.html</v>
      </c>
      <c r="I645" t="str">
        <f t="shared" si="32"/>
        <v>&lt;tr&gt; &lt;td&gt; &lt;a href=https://federallibrary.us/DOD/DODI/5505.19/CURRENT/TITLE.html&gt; DODI 5505.19&lt;/a&gt; &lt;/td&gt; &lt;td&gt; Establishment of Special Victim Investigation and Prosecution (SVIP) Capability Within the Military Criminal Investigative Organizations (MCIOS) &lt;/td&gt; &lt;/tr&gt;</v>
      </c>
    </row>
    <row r="646" spans="1:9" x14ac:dyDescent="0.25">
      <c r="A646" t="s">
        <v>1078</v>
      </c>
      <c r="B646" t="s">
        <v>905</v>
      </c>
      <c r="C646" t="str">
        <f t="shared" si="30"/>
        <v>5505.20</v>
      </c>
      <c r="D646" t="s">
        <v>1157</v>
      </c>
      <c r="E646" s="2">
        <v>45338</v>
      </c>
      <c r="G646" t="s">
        <v>644</v>
      </c>
      <c r="H646" t="str">
        <f t="shared" si="31"/>
        <v>https://federallibrary.us/DOD/DODI/5505.20/CURRENT/TITLE.html</v>
      </c>
      <c r="I646" t="str">
        <f t="shared" si="32"/>
        <v>&lt;tr&gt; &lt;td&gt; &lt;a href=https://federallibrary.us/DOD/DODI/5505.20/CURRENT/TITLE.html&gt; DODI 5505.20&lt;/a&gt; &lt;/td&gt; &lt;td&gt;  Processing Evidence Into The National Integrated Ballistic Information Network In Connection With DOD Criminal Investigations &lt;/td&gt; &lt;/tr&gt;</v>
      </c>
    </row>
    <row r="647" spans="1:9" x14ac:dyDescent="0.25">
      <c r="A647" t="s">
        <v>1079</v>
      </c>
      <c r="B647" t="s">
        <v>865</v>
      </c>
      <c r="C647" t="str">
        <f t="shared" si="30"/>
        <v>5515.08</v>
      </c>
      <c r="D647" t="s">
        <v>1157</v>
      </c>
      <c r="E647" s="2">
        <v>42612</v>
      </c>
      <c r="G647" t="s">
        <v>645</v>
      </c>
      <c r="H647" t="str">
        <f t="shared" si="31"/>
        <v>https://federallibrary.us/DOD/DODI/5515.08/CURRENT/TITLE.html</v>
      </c>
      <c r="I647" t="str">
        <f t="shared" si="32"/>
        <v>&lt;tr&gt; &lt;td&gt; &lt;a href=https://federallibrary.us/DOD/DODI/5515.08/CURRENT/TITLE.html&gt; DODI 5515.08&lt;/a&gt; &lt;/td&gt; &lt;td&gt; Assignment of Claims Responsibility &lt;/td&gt; &lt;/tr&gt;</v>
      </c>
    </row>
    <row r="648" spans="1:9" x14ac:dyDescent="0.25">
      <c r="A648" t="s">
        <v>1080</v>
      </c>
      <c r="B648" t="s">
        <v>845</v>
      </c>
      <c r="C648" t="str">
        <f t="shared" si="30"/>
        <v>5525.01</v>
      </c>
      <c r="D648" t="s">
        <v>1157</v>
      </c>
      <c r="E648" s="2">
        <v>43616</v>
      </c>
      <c r="G648" t="s">
        <v>646</v>
      </c>
      <c r="H648" t="str">
        <f t="shared" si="31"/>
        <v>https://federallibrary.us/DOD/DODI/5525.01/CURRENT/TITLE.html</v>
      </c>
      <c r="I648" t="str">
        <f t="shared" si="32"/>
        <v>&lt;tr&gt; &lt;td&gt; &lt;a href=https://federallibrary.us/DOD/DODI/5525.01/CURRENT/TITLE.html&gt; DODI 5525.01&lt;/a&gt; &lt;/td&gt; &lt;td&gt; Foreign Criminal and Civil Jurisdiction &lt;/td&gt; &lt;/tr&gt;</v>
      </c>
    </row>
    <row r="649" spans="1:9" x14ac:dyDescent="0.25">
      <c r="A649" t="s">
        <v>1080</v>
      </c>
      <c r="B649" t="s">
        <v>867</v>
      </c>
      <c r="C649" t="str">
        <f t="shared" si="30"/>
        <v>5525.03</v>
      </c>
      <c r="D649" t="s">
        <v>1157</v>
      </c>
      <c r="E649" s="2">
        <v>42513</v>
      </c>
      <c r="G649" t="s">
        <v>647</v>
      </c>
      <c r="H649" t="str">
        <f t="shared" si="31"/>
        <v>https://federallibrary.us/DOD/DODI/5525.03/CURRENT/TITLE.html</v>
      </c>
      <c r="I649" t="str">
        <f t="shared" si="32"/>
        <v>&lt;tr&gt; &lt;td&gt; &lt;a href=https://federallibrary.us/DOD/DODI/5525.03/CURRENT/TITLE.html&gt; DODI 5525.03&lt;/a&gt; &lt;/td&gt; &lt;td&gt; Criminal Jurisdiction of Service Courts of Friendly Foreign Forces and Sending States in the United States &lt;/td&gt; &lt;/tr&gt;</v>
      </c>
    </row>
    <row r="650" spans="1:9" x14ac:dyDescent="0.25">
      <c r="A650" t="s">
        <v>1080</v>
      </c>
      <c r="B650" t="s">
        <v>871</v>
      </c>
      <c r="C650" t="str">
        <f t="shared" si="30"/>
        <v>5525.07</v>
      </c>
      <c r="D650" t="s">
        <v>1157</v>
      </c>
      <c r="E650" s="2">
        <v>43895</v>
      </c>
      <c r="G650" t="s">
        <v>648</v>
      </c>
      <c r="H650" t="str">
        <f t="shared" si="31"/>
        <v>https://federallibrary.us/DOD/DODI/5525.07/CURRENT/TITLE.html</v>
      </c>
      <c r="I650" t="str">
        <f t="shared" si="32"/>
        <v>&lt;tr&gt; &lt;td&gt; &lt;a href=https://federallibrary.us/DOD/DODI/5525.07/CURRENT/TITLE.html&gt; DODI 5525.07&lt;/a&gt; &lt;/td&gt; &lt;td&gt; Implementation of the Memorandum of Understanding Between the Departments of Justice and Defense Relating to the Investigation and Prosecution of Certain Crimes &lt;/td&gt; &lt;/tr&gt;</v>
      </c>
    </row>
    <row r="651" spans="1:9" x14ac:dyDescent="0.25">
      <c r="A651" t="s">
        <v>1080</v>
      </c>
      <c r="B651" t="s">
        <v>865</v>
      </c>
      <c r="C651" t="str">
        <f t="shared" si="30"/>
        <v>5525.08</v>
      </c>
      <c r="D651" t="s">
        <v>1157</v>
      </c>
      <c r="E651" s="2">
        <v>44203</v>
      </c>
      <c r="G651" t="s">
        <v>649</v>
      </c>
      <c r="H651" t="str">
        <f t="shared" si="31"/>
        <v>https://federallibrary.us/DOD/DODI/5525.08/CURRENT/TITLE.html</v>
      </c>
      <c r="I651" t="str">
        <f t="shared" si="32"/>
        <v>&lt;tr&gt; &lt;td&gt; &lt;a href=https://federallibrary.us/DOD/DODI/5525.08/CURRENT/TITLE.html&gt; DODI 5525.08&lt;/a&gt; &lt;/td&gt; &lt;td&gt; Service Member Participation on State and Local Juries &lt;/td&gt; &lt;/tr&gt;</v>
      </c>
    </row>
    <row r="652" spans="1:9" x14ac:dyDescent="0.25">
      <c r="A652" t="s">
        <v>1080</v>
      </c>
      <c r="B652" t="s">
        <v>862</v>
      </c>
      <c r="C652" t="str">
        <f t="shared" si="30"/>
        <v>5525.09</v>
      </c>
      <c r="D652" t="s">
        <v>1157</v>
      </c>
      <c r="E652" s="2">
        <v>43578</v>
      </c>
      <c r="G652" t="s">
        <v>650</v>
      </c>
      <c r="H652" t="str">
        <f t="shared" si="31"/>
        <v>https://federallibrary.us/DOD/DODI/5525.09/CURRENT/TITLE.html</v>
      </c>
      <c r="I652" t="str">
        <f t="shared" si="32"/>
        <v>&lt;tr&gt; &lt;td&gt; &lt;a href=https://federallibrary.us/DOD/DODI/5525.09/CURRENT/TITLE.html&gt; DODI 5525.09&lt;/a&gt; &lt;/td&gt; &lt;td&gt; Compliance with Court Orders by Service Members and DoD Civilian Employees, and Their Family Members Outside the United States. &lt;/td&gt; &lt;/tr&gt;</v>
      </c>
    </row>
    <row r="653" spans="1:9" x14ac:dyDescent="0.25">
      <c r="A653" t="s">
        <v>1080</v>
      </c>
      <c r="B653" t="s">
        <v>847</v>
      </c>
      <c r="C653" t="str">
        <f t="shared" si="30"/>
        <v>5525.11</v>
      </c>
      <c r="D653" t="s">
        <v>1157</v>
      </c>
      <c r="E653" s="2">
        <v>38414</v>
      </c>
      <c r="G653" t="s">
        <v>651</v>
      </c>
      <c r="H653" t="str">
        <f t="shared" si="31"/>
        <v>https://federallibrary.us/DOD/DODI/5525.11/CURRENT/TITLE.html</v>
      </c>
      <c r="I653" t="str">
        <f t="shared" si="32"/>
        <v>&lt;tr&gt; &lt;td&gt; &lt;a href=https://federallibrary.us/DOD/DODI/5525.11/CURRENT/TITLE.html&gt; DODI 5525.11&lt;/a&gt; &lt;/td&gt; &lt;td&gt; Criminal Jurisdiction Over Civilians Employed by Or Accompanying the Armed Forces Outside the United States, Certain Service Members, and Former Service Members &lt;/td&gt; &lt;/tr&gt;</v>
      </c>
    </row>
    <row r="654" spans="1:9" x14ac:dyDescent="0.25">
      <c r="A654" t="s">
        <v>1080</v>
      </c>
      <c r="B654" t="s">
        <v>886</v>
      </c>
      <c r="C654" t="str">
        <f t="shared" si="30"/>
        <v>5525.12</v>
      </c>
      <c r="D654" t="s">
        <v>1157</v>
      </c>
      <c r="E654" s="2">
        <v>44827</v>
      </c>
      <c r="G654" t="s">
        <v>652</v>
      </c>
      <c r="H654" t="str">
        <f t="shared" si="31"/>
        <v>https://federallibrary.us/DOD/DODI/5525.12/CURRENT/TITLE.html</v>
      </c>
      <c r="I654" t="str">
        <f t="shared" si="32"/>
        <v>&lt;tr&gt; &lt;td&gt; &lt;a href=https://federallibrary.us/DOD/DODI/5525.12/CURRENT/TITLE.html&gt; DODI 5525.12&lt;/a&gt; &lt;/td&gt; &lt;td&gt; Implementation of the Law Enforcement Officers Safety Act of 2004, as amended (LEOSA) &lt;/td&gt; &lt;/tr&gt;</v>
      </c>
    </row>
    <row r="655" spans="1:9" x14ac:dyDescent="0.25">
      <c r="A655" t="s">
        <v>1080</v>
      </c>
      <c r="B655" t="s">
        <v>848</v>
      </c>
      <c r="C655" t="str">
        <f t="shared" si="30"/>
        <v>5525.13</v>
      </c>
      <c r="D655" t="s">
        <v>1157</v>
      </c>
      <c r="E655" s="2">
        <v>44811</v>
      </c>
      <c r="G655" t="s">
        <v>653</v>
      </c>
      <c r="H655" t="str">
        <f t="shared" si="31"/>
        <v>https://federallibrary.us/DOD/DODI/5525.13/CURRENT/TITLE.html</v>
      </c>
      <c r="I655" t="str">
        <f t="shared" si="32"/>
        <v>&lt;tr&gt; &lt;td&gt; &lt;a href=https://federallibrary.us/DOD/DODI/5525.13/CURRENT/TITLE.html&gt; DODI 5525.13&lt;/a&gt; &lt;/td&gt; &lt;td&gt; Deputation of DoD Personnel &lt;/td&gt; &lt;/tr&gt;</v>
      </c>
    </row>
    <row r="656" spans="1:9" x14ac:dyDescent="0.25">
      <c r="A656" t="s">
        <v>1080</v>
      </c>
      <c r="B656" t="s">
        <v>859</v>
      </c>
      <c r="C656" t="str">
        <f t="shared" si="30"/>
        <v>5525.14</v>
      </c>
      <c r="D656" t="s">
        <v>1157</v>
      </c>
      <c r="E656" s="2">
        <v>44105</v>
      </c>
      <c r="G656" t="s">
        <v>654</v>
      </c>
      <c r="H656" t="str">
        <f t="shared" si="31"/>
        <v>https://federallibrary.us/DOD/DODI/5525.14/CURRENT/TITLE.html</v>
      </c>
      <c r="I656" t="str">
        <f t="shared" si="32"/>
        <v>&lt;tr&gt; &lt;td&gt; &lt;a href=https://federallibrary.us/DOD/DODI/5525.14/CURRENT/TITLE.html&gt; DODI 5525.14&lt;/a&gt; &lt;/td&gt; &lt;td&gt; DoD Law Enforcement Officers (LEOS) Flying Armed &lt;/td&gt; &lt;/tr&gt;</v>
      </c>
    </row>
    <row r="657" spans="1:9" x14ac:dyDescent="0.25">
      <c r="A657" t="s">
        <v>1080</v>
      </c>
      <c r="B657" t="s">
        <v>849</v>
      </c>
      <c r="C657" t="str">
        <f t="shared" si="30"/>
        <v>5525.15</v>
      </c>
      <c r="D657" t="s">
        <v>1157</v>
      </c>
      <c r="E657" s="2">
        <v>44104</v>
      </c>
      <c r="G657" t="s">
        <v>655</v>
      </c>
      <c r="H657" t="str">
        <f t="shared" si="31"/>
        <v>https://federallibrary.us/DOD/DODI/5525.15/CURRENT/TITLE.html</v>
      </c>
      <c r="I657" t="str">
        <f t="shared" si="32"/>
        <v>&lt;tr&gt; &lt;td&gt; &lt;a href=https://federallibrary.us/DOD/DODI/5525.15/CURRENT/TITLE.html&gt; DODI 5525.15&lt;/a&gt; &lt;/td&gt; &lt;td&gt; Law Enforcement (LE) Standards and Training in the DoD &lt;/td&gt; &lt;/tr&gt;</v>
      </c>
    </row>
    <row r="658" spans="1:9" x14ac:dyDescent="0.25">
      <c r="A658" t="s">
        <v>1080</v>
      </c>
      <c r="B658" t="s">
        <v>860</v>
      </c>
      <c r="C658" t="str">
        <f t="shared" si="30"/>
        <v>5525.16</v>
      </c>
      <c r="D658" t="s">
        <v>1157</v>
      </c>
      <c r="E658" s="2">
        <v>44134</v>
      </c>
      <c r="G658" t="s">
        <v>656</v>
      </c>
      <c r="H658" t="str">
        <f t="shared" si="31"/>
        <v>https://federallibrary.us/DOD/DODI/5525.16/CURRENT/TITLE.html</v>
      </c>
      <c r="I658" t="str">
        <f t="shared" si="32"/>
        <v>&lt;tr&gt; &lt;td&gt; &lt;a href=https://federallibrary.us/DOD/DODI/5525.16/CURRENT/TITLE.html&gt; DODI 5525.16&lt;/a&gt; &lt;/td&gt; &lt;td&gt; Law Enforcement Defense Data Exchange (LE D-DEx) &lt;/td&gt; &lt;/tr&gt;</v>
      </c>
    </row>
    <row r="659" spans="1:9" x14ac:dyDescent="0.25">
      <c r="A659" t="s">
        <v>1080</v>
      </c>
      <c r="B659" t="s">
        <v>850</v>
      </c>
      <c r="C659" t="str">
        <f t="shared" si="30"/>
        <v>5525.17</v>
      </c>
      <c r="D659" t="s">
        <v>1157</v>
      </c>
      <c r="E659" s="2">
        <v>44046</v>
      </c>
      <c r="G659" t="s">
        <v>657</v>
      </c>
      <c r="H659" t="str">
        <f t="shared" si="31"/>
        <v>https://federallibrary.us/DOD/DODI/5525.17/CURRENT/TITLE.html</v>
      </c>
      <c r="I659" t="str">
        <f t="shared" si="32"/>
        <v>&lt;tr&gt; &lt;td&gt; &lt;a href=https://federallibrary.us/DOD/DODI/5525.17/CURRENT/TITLE.html&gt; DODI 5525.17&lt;/a&gt; &lt;/td&gt; &lt;td&gt; Conservation Law Enforcement Program (CLEP) &lt;/td&gt; &lt;/tr&gt;</v>
      </c>
    </row>
    <row r="660" spans="1:9" x14ac:dyDescent="0.25">
      <c r="A660" t="s">
        <v>1080</v>
      </c>
      <c r="B660" t="s">
        <v>884</v>
      </c>
      <c r="C660" t="str">
        <f t="shared" si="30"/>
        <v>5525.18</v>
      </c>
      <c r="D660" t="s">
        <v>1157</v>
      </c>
      <c r="E660" s="2">
        <v>44105</v>
      </c>
      <c r="G660" t="s">
        <v>658</v>
      </c>
      <c r="H660" t="str">
        <f t="shared" si="31"/>
        <v>https://federallibrary.us/DOD/DODI/5525.18/CURRENT/TITLE.html</v>
      </c>
      <c r="I660" t="str">
        <f t="shared" si="32"/>
        <v>&lt;tr&gt; &lt;td&gt; &lt;a href=https://federallibrary.us/DOD/DODI/5525.18/CURRENT/TITLE.html&gt; DODI 5525.18&lt;/a&gt; &lt;/td&gt; &lt;td&gt; Law Enforcement Criminal Intelligence (CRIMINT) in DoD &lt;/td&gt; &lt;/tr&gt;</v>
      </c>
    </row>
    <row r="661" spans="1:9" x14ac:dyDescent="0.25">
      <c r="A661" t="s">
        <v>1080</v>
      </c>
      <c r="B661" t="s">
        <v>893</v>
      </c>
      <c r="C661" t="str">
        <f t="shared" si="30"/>
        <v>5525.19</v>
      </c>
      <c r="D661" t="s">
        <v>1157</v>
      </c>
      <c r="E661" s="2">
        <v>44105</v>
      </c>
      <c r="G661" t="s">
        <v>659</v>
      </c>
      <c r="H661" t="str">
        <f t="shared" si="31"/>
        <v>https://federallibrary.us/DOD/DODI/5525.19/CURRENT/TITLE.html</v>
      </c>
      <c r="I661" t="str">
        <f t="shared" si="32"/>
        <v>&lt;tr&gt; &lt;td&gt; &lt;a href=https://federallibrary.us/DOD/DODI/5525.19/CURRENT/TITLE.html&gt; DODI 5525.19&lt;/a&gt; &lt;/td&gt; &lt;td&gt; DoD Identity Matching Engine for Security and Analysis (IMESA) Access to Criminal Justice Information (CJI) and Terrorist Screening Databases (TSDB) &lt;/td&gt; &lt;/tr&gt;</v>
      </c>
    </row>
    <row r="662" spans="1:9" x14ac:dyDescent="0.25">
      <c r="A662" t="s">
        <v>1080</v>
      </c>
      <c r="B662" t="s">
        <v>905</v>
      </c>
      <c r="C662" t="str">
        <f t="shared" si="30"/>
        <v>5525.20</v>
      </c>
      <c r="D662" t="s">
        <v>1157</v>
      </c>
      <c r="E662" s="2">
        <v>45257</v>
      </c>
      <c r="G662" t="s">
        <v>660</v>
      </c>
      <c r="H662" t="str">
        <f t="shared" si="31"/>
        <v>https://federallibrary.us/DOD/DODI/5525.20/CURRENT/TITLE.html</v>
      </c>
      <c r="I662" t="str">
        <f t="shared" si="32"/>
        <v>&lt;tr&gt; &lt;td&gt; &lt;a href=https://federallibrary.us/DOD/DODI/5525.20/CURRENT/TITLE.html&gt; DODI 5525.20&lt;/a&gt; &lt;/td&gt; &lt;td&gt; Registered Sex Offender Management in DoD &lt;/td&gt; &lt;/tr&gt;</v>
      </c>
    </row>
    <row r="663" spans="1:9" x14ac:dyDescent="0.25">
      <c r="A663" t="s">
        <v>1081</v>
      </c>
      <c r="B663" t="s">
        <v>867</v>
      </c>
      <c r="C663" t="str">
        <f t="shared" si="30"/>
        <v>5530.03</v>
      </c>
      <c r="D663" t="s">
        <v>1157</v>
      </c>
      <c r="E663" s="2">
        <v>43803</v>
      </c>
      <c r="G663" t="s">
        <v>661</v>
      </c>
      <c r="H663" t="str">
        <f t="shared" si="31"/>
        <v>https://federallibrary.us/DOD/DODI/5530.03/CURRENT/TITLE.html</v>
      </c>
      <c r="I663" t="str">
        <f t="shared" si="32"/>
        <v>&lt;tr&gt; &lt;td&gt; &lt;a href=https://federallibrary.us/DOD/DODI/5530.03/CURRENT/TITLE.html&gt; DODI 5530.03&lt;/a&gt; &lt;/td&gt; &lt;td&gt; International Agreements &lt;/td&gt; &lt;/tr&gt;</v>
      </c>
    </row>
    <row r="664" spans="1:9" x14ac:dyDescent="0.25">
      <c r="A664" t="s">
        <v>1082</v>
      </c>
      <c r="B664" t="s">
        <v>865</v>
      </c>
      <c r="C664" t="str">
        <f t="shared" si="30"/>
        <v>5535.08</v>
      </c>
      <c r="D664" t="s">
        <v>1157</v>
      </c>
      <c r="E664" s="2">
        <v>44826</v>
      </c>
      <c r="G664" t="s">
        <v>662</v>
      </c>
      <c r="H664" t="str">
        <f t="shared" si="31"/>
        <v>https://federallibrary.us/DOD/DODI/5535.08/CURRENT/TITLE.html</v>
      </c>
      <c r="I664" t="str">
        <f t="shared" si="32"/>
        <v>&lt;tr&gt; &lt;td&gt; &lt;a href=https://federallibrary.us/DOD/DODI/5535.08/CURRENT/TITLE.html&gt; DODI 5535.08&lt;/a&gt; &lt;/td&gt; &lt;td&gt; DoD Domestic Technology Transfer Program &lt;/td&gt; &lt;/tr&gt;</v>
      </c>
    </row>
    <row r="665" spans="1:9" x14ac:dyDescent="0.25">
      <c r="A665" t="s">
        <v>1082</v>
      </c>
      <c r="B665" t="s">
        <v>863</v>
      </c>
      <c r="C665" t="str">
        <f t="shared" si="30"/>
        <v>5535.10</v>
      </c>
      <c r="D665" t="s">
        <v>1157</v>
      </c>
      <c r="E665" s="2">
        <v>42879</v>
      </c>
      <c r="G665" t="s">
        <v>663</v>
      </c>
      <c r="H665" t="str">
        <f t="shared" si="31"/>
        <v>https://federallibrary.us/DOD/DODI/5535.10/CURRENT/TITLE.html</v>
      </c>
      <c r="I665" t="str">
        <f t="shared" si="32"/>
        <v>&lt;tr&gt; &lt;td&gt; &lt;a href=https://federallibrary.us/DOD/DODI/5535.10/CURRENT/TITLE.html&gt; DODI 5535.10&lt;/a&gt; &lt;/td&gt; &lt;td&gt; Coordination of DoD Efforts to Identify, Evaluate, and Transfer DoD Technology Items, Equipment, and Services to Federal, State, and Local First Responders &lt;/td&gt; &lt;/tr&gt;</v>
      </c>
    </row>
    <row r="666" spans="1:9" x14ac:dyDescent="0.25">
      <c r="A666" t="s">
        <v>1082</v>
      </c>
      <c r="B666" t="s">
        <v>847</v>
      </c>
      <c r="C666" t="str">
        <f t="shared" si="30"/>
        <v>5535.11</v>
      </c>
      <c r="D666" t="s">
        <v>1157</v>
      </c>
      <c r="E666" s="2">
        <v>43388</v>
      </c>
      <c r="G666" t="s">
        <v>664</v>
      </c>
      <c r="H666" t="str">
        <f t="shared" si="31"/>
        <v>https://federallibrary.us/DOD/DODI/5535.11/CURRENT/TITLE.html</v>
      </c>
      <c r="I666" t="str">
        <f t="shared" si="32"/>
        <v>&lt;tr&gt; &lt;td&gt; &lt;a href=https://federallibrary.us/DOD/DODI/5535.11/CURRENT/TITLE.html&gt; DODI 5535.11&lt;/a&gt; &lt;/td&gt; &lt;td&gt; Availability of Samples, Drawings, Information, Equipment, Materials, and Certain Services to Non-DoD Persons and Entities &lt;/td&gt; &lt;/tr&gt;</v>
      </c>
    </row>
    <row r="667" spans="1:9" x14ac:dyDescent="0.25">
      <c r="A667" t="s">
        <v>1082</v>
      </c>
      <c r="B667" t="s">
        <v>886</v>
      </c>
      <c r="C667" t="str">
        <f t="shared" si="30"/>
        <v>5535.12</v>
      </c>
      <c r="D667" t="s">
        <v>1157</v>
      </c>
      <c r="E667" s="2">
        <v>43950</v>
      </c>
      <c r="G667" t="s">
        <v>665</v>
      </c>
      <c r="H667" t="str">
        <f t="shared" si="31"/>
        <v>https://federallibrary.us/DOD/DODI/5535.12/CURRENT/TITLE.html</v>
      </c>
      <c r="I667" t="str">
        <f t="shared" si="32"/>
        <v>&lt;tr&gt; &lt;td&gt; &lt;a href=https://federallibrary.us/DOD/DODI/5535.12/CURRENT/TITLE.html&gt; DODI 5535.12&lt;/a&gt; &lt;/td&gt; &lt;td&gt; DoD Branding and Trademark Licensing Program Implementation &lt;/td&gt; &lt;/tr&gt;</v>
      </c>
    </row>
    <row r="668" spans="1:9" x14ac:dyDescent="0.25">
      <c r="A668" t="s">
        <v>1083</v>
      </c>
      <c r="B668" t="s">
        <v>870</v>
      </c>
      <c r="C668" t="str">
        <f t="shared" si="30"/>
        <v>5545.02</v>
      </c>
      <c r="D668" t="s">
        <v>1157</v>
      </c>
      <c r="E668" s="2">
        <v>39801</v>
      </c>
      <c r="G668" t="s">
        <v>666</v>
      </c>
      <c r="H668" t="str">
        <f t="shared" si="31"/>
        <v>https://federallibrary.us/DOD/DODI/5545.02/CURRENT/TITLE.html</v>
      </c>
      <c r="I668" t="str">
        <f t="shared" si="32"/>
        <v>&lt;tr&gt; &lt;td&gt; &lt;a href=https://federallibrary.us/DOD/DODI/5545.02/CURRENT/TITLE.html&gt; DODI 5545.02&lt;/a&gt; &lt;/td&gt; &lt;td&gt; DoD Policy for Congressional Authorization and Appropriations Reporting Requirements &lt;/td&gt; &lt;/tr&gt;</v>
      </c>
    </row>
    <row r="669" spans="1:9" x14ac:dyDescent="0.25">
      <c r="A669" t="s">
        <v>1083</v>
      </c>
      <c r="B669" t="s">
        <v>846</v>
      </c>
      <c r="C669" t="str">
        <f t="shared" si="30"/>
        <v>5545.04</v>
      </c>
      <c r="D669" t="s">
        <v>1157</v>
      </c>
      <c r="E669" s="2">
        <v>40640</v>
      </c>
      <c r="G669" t="s">
        <v>667</v>
      </c>
      <c r="H669" t="str">
        <f t="shared" si="31"/>
        <v>https://federallibrary.us/DOD/DODI/5545.04/CURRENT/TITLE.html</v>
      </c>
      <c r="I669" t="str">
        <f t="shared" si="32"/>
        <v>&lt;tr&gt; &lt;td&gt; &lt;a href=https://federallibrary.us/DOD/DODI/5545.04/CURRENT/TITLE.html&gt; DODI 5545.04&lt;/a&gt; &lt;/td&gt; &lt;td&gt; Policy on the Congressional Reporting Process for Military Educational Institutions Seeking to Establish, Modify, or Redesignate Degrees &lt;/td&gt; &lt;/tr&gt;</v>
      </c>
    </row>
    <row r="670" spans="1:9" x14ac:dyDescent="0.25">
      <c r="A670" t="s">
        <v>1084</v>
      </c>
      <c r="B670" t="s">
        <v>865</v>
      </c>
      <c r="C670" t="str">
        <f t="shared" si="30"/>
        <v>6000.08</v>
      </c>
      <c r="D670" t="s">
        <v>1157</v>
      </c>
      <c r="E670" s="2">
        <v>43069</v>
      </c>
      <c r="G670" t="s">
        <v>668</v>
      </c>
      <c r="H670" t="str">
        <f t="shared" si="31"/>
        <v>https://federallibrary.us/DOD/DODI/6000.08/CURRENT/TITLE.html</v>
      </c>
      <c r="I670" t="str">
        <f t="shared" si="32"/>
        <v>&lt;tr&gt; &lt;td&gt; &lt;a href=https://federallibrary.us/DOD/DODI/6000.08/CURRENT/TITLE.html&gt; DODI 6000.08&lt;/a&gt; &lt;/td&gt; &lt;td&gt; Defense Health Program Research and Clinical Investigation Programs &lt;/td&gt; &lt;/tr&gt;</v>
      </c>
    </row>
    <row r="671" spans="1:9" x14ac:dyDescent="0.25">
      <c r="A671" t="s">
        <v>1084</v>
      </c>
      <c r="B671" t="s">
        <v>847</v>
      </c>
      <c r="C671" t="str">
        <f t="shared" si="30"/>
        <v>6000.11</v>
      </c>
      <c r="D671" t="s">
        <v>1157</v>
      </c>
      <c r="E671" s="2">
        <v>43273</v>
      </c>
      <c r="G671" t="s">
        <v>669</v>
      </c>
      <c r="H671" t="str">
        <f t="shared" si="31"/>
        <v>https://federallibrary.us/DOD/DODI/6000.11/CURRENT/TITLE.html</v>
      </c>
      <c r="I671" t="str">
        <f t="shared" si="32"/>
        <v>&lt;tr&gt; &lt;td&gt; &lt;a href=https://federallibrary.us/DOD/DODI/6000.11/CURRENT/TITLE.html&gt; DODI 6000.11&lt;/a&gt; &lt;/td&gt; &lt;td&gt; Patient Movement (PM) &lt;/td&gt; &lt;/tr&gt;</v>
      </c>
    </row>
    <row r="672" spans="1:9" x14ac:dyDescent="0.25">
      <c r="A672" t="s">
        <v>1084</v>
      </c>
      <c r="B672" t="s">
        <v>848</v>
      </c>
      <c r="C672" t="str">
        <f t="shared" si="30"/>
        <v>6000.13</v>
      </c>
      <c r="D672" t="s">
        <v>1157</v>
      </c>
      <c r="E672" s="2">
        <v>42493</v>
      </c>
      <c r="G672" t="s">
        <v>670</v>
      </c>
      <c r="H672" t="str">
        <f t="shared" si="31"/>
        <v>https://federallibrary.us/DOD/DODI/6000.13/CURRENT/TITLE.html</v>
      </c>
      <c r="I672" t="str">
        <f t="shared" si="32"/>
        <v>&lt;tr&gt; &lt;td&gt; &lt;a href=https://federallibrary.us/DOD/DODI/6000.13/CURRENT/TITLE.html&gt; DODI 6000.13&lt;/a&gt; &lt;/td&gt; &lt;td&gt; Accession and Retention Policies, Programs, and Incentives for Military Health Professions Officers (HPOs) &lt;/td&gt; &lt;/tr&gt;</v>
      </c>
    </row>
    <row r="673" spans="1:9" x14ac:dyDescent="0.25">
      <c r="A673" t="s">
        <v>1084</v>
      </c>
      <c r="B673" t="s">
        <v>859</v>
      </c>
      <c r="C673" t="str">
        <f t="shared" si="30"/>
        <v>6000.14</v>
      </c>
      <c r="D673" t="s">
        <v>1157</v>
      </c>
      <c r="E673" s="2">
        <v>43924</v>
      </c>
      <c r="G673" t="s">
        <v>671</v>
      </c>
      <c r="H673" t="str">
        <f t="shared" si="31"/>
        <v>https://federallibrary.us/DOD/DODI/6000.14/CURRENT/TITLE.html</v>
      </c>
      <c r="I673" t="str">
        <f t="shared" si="32"/>
        <v>&lt;tr&gt; &lt;td&gt; &lt;a href=https://federallibrary.us/DOD/DODI/6000.14/CURRENT/TITLE.html&gt; DODI 6000.14&lt;/a&gt; &lt;/td&gt; &lt;td&gt; DoD Patient Bill of Rights and Responsibilities in the Military Health System (MHS) &lt;/td&gt; &lt;/tr&gt;</v>
      </c>
    </row>
    <row r="674" spans="1:9" x14ac:dyDescent="0.25">
      <c r="A674" t="s">
        <v>1084</v>
      </c>
      <c r="B674" t="s">
        <v>884</v>
      </c>
      <c r="C674" t="str">
        <f t="shared" si="30"/>
        <v>6000.18</v>
      </c>
      <c r="D674" t="s">
        <v>1157</v>
      </c>
      <c r="E674" s="2">
        <v>43334</v>
      </c>
      <c r="G674" t="s">
        <v>672</v>
      </c>
      <c r="H674" t="str">
        <f t="shared" si="31"/>
        <v>https://federallibrary.us/DOD/DODI/6000.18/CURRENT/TITLE.html</v>
      </c>
      <c r="I674" t="str">
        <f t="shared" si="32"/>
        <v>&lt;tr&gt; &lt;td&gt; &lt;a href=https://federallibrary.us/DOD/DODI/6000.18/CURRENT/TITLE.html&gt; DODI 6000.18&lt;/a&gt; &lt;/td&gt; &lt;td&gt; Medical Modeling and Simulation Requirements Management &lt;/td&gt; &lt;/tr&gt;</v>
      </c>
    </row>
    <row r="675" spans="1:9" x14ac:dyDescent="0.25">
      <c r="A675" t="s">
        <v>1084</v>
      </c>
      <c r="B675" t="s">
        <v>893</v>
      </c>
      <c r="C675" t="str">
        <f t="shared" si="30"/>
        <v>6000.19</v>
      </c>
      <c r="D675" t="s">
        <v>1157</v>
      </c>
      <c r="E675" s="2">
        <v>43868</v>
      </c>
      <c r="G675" t="s">
        <v>673</v>
      </c>
      <c r="H675" t="str">
        <f t="shared" si="31"/>
        <v>https://federallibrary.us/DOD/DODI/6000.19/CURRENT/TITLE.html</v>
      </c>
      <c r="I675" t="str">
        <f t="shared" si="32"/>
        <v>&lt;tr&gt; &lt;td&gt; &lt;a href=https://federallibrary.us/DOD/DODI/6000.19/CURRENT/TITLE.html&gt; DODI 6000.19&lt;/a&gt; &lt;/td&gt; &lt;td&gt; Military Medical Treatment Facility Support of Medical Readiness Skills of Health Care Providers &lt;/td&gt; &lt;/tr&gt;</v>
      </c>
    </row>
    <row r="676" spans="1:9" x14ac:dyDescent="0.25">
      <c r="A676" t="s">
        <v>1085</v>
      </c>
      <c r="B676" t="s">
        <v>876</v>
      </c>
      <c r="C676" t="str">
        <f t="shared" si="30"/>
        <v>6010.22</v>
      </c>
      <c r="D676" t="s">
        <v>1157</v>
      </c>
      <c r="E676" s="2">
        <v>42474</v>
      </c>
      <c r="G676" t="s">
        <v>674</v>
      </c>
      <c r="H676" t="str">
        <f t="shared" si="31"/>
        <v>https://federallibrary.us/DOD/DODI/6010.22/CURRENT/TITLE.html</v>
      </c>
      <c r="I676" t="str">
        <f t="shared" si="32"/>
        <v>&lt;tr&gt; &lt;td&gt; &lt;a href=https://federallibrary.us/DOD/DODI/6010.22/CURRENT/TITLE.html&gt; DODI 6010.22&lt;/a&gt; &lt;/td&gt; &lt;td&gt; National Disaster Medical System (NDMS) &lt;/td&gt; &lt;/tr&gt;</v>
      </c>
    </row>
    <row r="677" spans="1:9" x14ac:dyDescent="0.25">
      <c r="A677" t="s">
        <v>1085</v>
      </c>
      <c r="B677" t="s">
        <v>877</v>
      </c>
      <c r="C677" t="str">
        <f t="shared" si="30"/>
        <v>6010.23</v>
      </c>
      <c r="D677" t="s">
        <v>1157</v>
      </c>
      <c r="E677" s="2">
        <v>44595</v>
      </c>
      <c r="G677" t="s">
        <v>675</v>
      </c>
      <c r="H677" t="str">
        <f t="shared" si="31"/>
        <v>https://federallibrary.us/DOD/DODI/6010.23/CURRENT/TITLE.html</v>
      </c>
      <c r="I677" t="str">
        <f t="shared" si="32"/>
        <v>&lt;tr&gt; &lt;td&gt; &lt;a href=https://federallibrary.us/DOD/DODI/6010.23/CURRENT/TITLE.html&gt; DODI 6010.23&lt;/a&gt; &lt;/td&gt; &lt;td&gt; DoD and Department of Veterans Affairs Health Care Resource Sharing Program &lt;/td&gt; &lt;/tr&gt;</v>
      </c>
    </row>
    <row r="678" spans="1:9" x14ac:dyDescent="0.25">
      <c r="A678" t="s">
        <v>1085</v>
      </c>
      <c r="B678" t="s">
        <v>878</v>
      </c>
      <c r="C678" t="str">
        <f t="shared" si="30"/>
        <v>6010.24</v>
      </c>
      <c r="D678" t="s">
        <v>1157</v>
      </c>
      <c r="E678" s="2">
        <v>42138</v>
      </c>
      <c r="G678" t="s">
        <v>676</v>
      </c>
      <c r="H678" t="str">
        <f t="shared" si="31"/>
        <v>https://federallibrary.us/DOD/DODI/6010.24/CURRENT/TITLE.html</v>
      </c>
      <c r="I678" t="str">
        <f t="shared" si="32"/>
        <v>&lt;tr&gt; &lt;td&gt; &lt;a href=https://federallibrary.us/DOD/DODI/6010.24/CURRENT/TITLE.html&gt; DODI 6010.24&lt;/a&gt; &lt;/td&gt; &lt;td&gt; Interagency Complex Care Coordination &lt;/td&gt; &lt;/tr&gt;</v>
      </c>
    </row>
    <row r="679" spans="1:9" x14ac:dyDescent="0.25">
      <c r="A679" t="s">
        <v>1086</v>
      </c>
      <c r="B679" t="s">
        <v>850</v>
      </c>
      <c r="C679" t="str">
        <f t="shared" si="30"/>
        <v>6015.17</v>
      </c>
      <c r="D679" t="s">
        <v>1157</v>
      </c>
      <c r="E679" s="2">
        <v>43069</v>
      </c>
      <c r="G679" t="s">
        <v>677</v>
      </c>
      <c r="H679" t="str">
        <f t="shared" si="31"/>
        <v>https://federallibrary.us/DOD/DODI/6015.17/CURRENT/TITLE.html</v>
      </c>
      <c r="I679" t="str">
        <f t="shared" si="32"/>
        <v>&lt;tr&gt; &lt;td&gt; &lt;a href=https://federallibrary.us/DOD/DODI/6015.17/CURRENT/TITLE.html&gt; DODI 6015.17&lt;/a&gt; &lt;/td&gt; &lt;td&gt; Military Health System (MHS) Facility Portfolio Management &lt;/td&gt; &lt;/tr&gt;</v>
      </c>
    </row>
    <row r="680" spans="1:9" x14ac:dyDescent="0.25">
      <c r="A680" t="s">
        <v>1086</v>
      </c>
      <c r="B680" t="s">
        <v>877</v>
      </c>
      <c r="C680" t="str">
        <f t="shared" si="30"/>
        <v>6015.23</v>
      </c>
      <c r="D680" t="s">
        <v>1157</v>
      </c>
      <c r="E680" s="2">
        <v>42058</v>
      </c>
      <c r="G680" t="s">
        <v>678</v>
      </c>
      <c r="H680" t="str">
        <f t="shared" si="31"/>
        <v>https://federallibrary.us/DOD/DODI/6015.23/CURRENT/TITLE.html</v>
      </c>
      <c r="I680" t="str">
        <f t="shared" si="32"/>
        <v>&lt;tr&gt; &lt;td&gt; &lt;a href=https://federallibrary.us/DOD/DODI/6015.23/CURRENT/TITLE.html&gt; DODI 6015.23&lt;/a&gt; &lt;/td&gt; &lt;td&gt; Foreign Military Personnel Care and Uniform Business Offices in Military Treatment Facilities (MTFs) &lt;/td&gt; &lt;/tr&gt;</v>
      </c>
    </row>
    <row r="681" spans="1:9" x14ac:dyDescent="0.25">
      <c r="A681" t="s">
        <v>1086</v>
      </c>
      <c r="B681" t="s">
        <v>878</v>
      </c>
      <c r="C681" t="str">
        <f t="shared" si="30"/>
        <v>6015.24</v>
      </c>
      <c r="D681" t="s">
        <v>1157</v>
      </c>
      <c r="E681" s="2">
        <v>44295</v>
      </c>
      <c r="G681" t="s">
        <v>679</v>
      </c>
      <c r="H681" t="str">
        <f t="shared" si="31"/>
        <v>https://federallibrary.us/DOD/DODI/6015.24/CURRENT/TITLE.html</v>
      </c>
      <c r="I681" t="str">
        <f t="shared" si="32"/>
        <v>&lt;tr&gt; &lt;td&gt; &lt;a href=https://federallibrary.us/DOD/DODI/6015.24/CURRENT/TITLE.html&gt; DODI 6015.24&lt;/a&gt; &lt;/td&gt; &lt;td&gt; DoD Graduate Medical Education Program &lt;/td&gt; &lt;/tr&gt;</v>
      </c>
    </row>
    <row r="682" spans="1:9" x14ac:dyDescent="0.25">
      <c r="A682" t="s">
        <v>1087</v>
      </c>
      <c r="B682" t="s">
        <v>848</v>
      </c>
      <c r="C682" t="str">
        <f t="shared" si="30"/>
        <v>6025.13</v>
      </c>
      <c r="D682" t="s">
        <v>1157</v>
      </c>
      <c r="E682" s="2">
        <v>45133</v>
      </c>
      <c r="G682" t="s">
        <v>680</v>
      </c>
      <c r="H682" t="str">
        <f t="shared" si="31"/>
        <v>https://federallibrary.us/DOD/DODI/6025.13/CURRENT/TITLE.html</v>
      </c>
      <c r="I682" t="str">
        <f t="shared" si="32"/>
        <v>&lt;tr&gt; &lt;td&gt; &lt;a href=https://federallibrary.us/DOD/DODI/6025.13/CURRENT/TITLE.html&gt; DODI 6025.13&lt;/a&gt; &lt;/td&gt; &lt;td&gt; Medical Quality Assurance and Clinical Quality Management in the Military Health System &lt;/td&gt; &lt;/tr&gt;</v>
      </c>
    </row>
    <row r="683" spans="1:9" x14ac:dyDescent="0.25">
      <c r="A683" t="s">
        <v>1087</v>
      </c>
      <c r="B683" t="s">
        <v>884</v>
      </c>
      <c r="C683" t="str">
        <f t="shared" si="30"/>
        <v>6025.18</v>
      </c>
      <c r="D683" t="s">
        <v>1157</v>
      </c>
      <c r="E683" s="2">
        <v>43537</v>
      </c>
      <c r="G683" t="s">
        <v>681</v>
      </c>
      <c r="H683" t="str">
        <f t="shared" si="31"/>
        <v>https://federallibrary.us/DOD/DODI/6025.18/CURRENT/TITLE.html</v>
      </c>
      <c r="I683" t="str">
        <f t="shared" si="32"/>
        <v>&lt;tr&gt; &lt;td&gt; &lt;a href=https://federallibrary.us/DOD/DODI/6025.18/CURRENT/TITLE.html&gt; DODI 6025.18&lt;/a&gt; &lt;/td&gt; &lt;td&gt; Health Insurance Portability and Accountability Act (HIPAA) Privacy Rule Compliance in DoD Health Care Programs &lt;/td&gt; &lt;/tr&gt;</v>
      </c>
    </row>
    <row r="684" spans="1:9" x14ac:dyDescent="0.25">
      <c r="A684" t="s">
        <v>1087</v>
      </c>
      <c r="B684" t="s">
        <v>893</v>
      </c>
      <c r="C684" t="str">
        <f t="shared" si="30"/>
        <v>6025.19</v>
      </c>
      <c r="D684" t="s">
        <v>1157</v>
      </c>
      <c r="E684" s="2">
        <v>44755</v>
      </c>
      <c r="G684" t="s">
        <v>682</v>
      </c>
      <c r="H684" t="str">
        <f t="shared" si="31"/>
        <v>https://federallibrary.us/DOD/DODI/6025.19/CURRENT/TITLE.html</v>
      </c>
      <c r="I684" t="str">
        <f t="shared" si="32"/>
        <v>&lt;tr&gt; &lt;td&gt; &lt;a href=https://federallibrary.us/DOD/DODI/6025.19/CURRENT/TITLE.html&gt; DODI 6025.19&lt;/a&gt; &lt;/td&gt; &lt;td&gt; Individual Medical Readiness Program &lt;/td&gt; &lt;/tr&gt;</v>
      </c>
    </row>
    <row r="685" spans="1:9" x14ac:dyDescent="0.25">
      <c r="A685" t="s">
        <v>1087</v>
      </c>
      <c r="B685" t="s">
        <v>905</v>
      </c>
      <c r="C685" t="str">
        <f t="shared" si="30"/>
        <v>6025.20</v>
      </c>
      <c r="D685" t="s">
        <v>1157</v>
      </c>
      <c r="E685" s="2">
        <v>43963</v>
      </c>
      <c r="G685" t="s">
        <v>683</v>
      </c>
      <c r="H685" t="str">
        <f t="shared" si="31"/>
        <v>https://federallibrary.us/DOD/DODI/6025.20/CURRENT/TITLE.html</v>
      </c>
      <c r="I685" t="str">
        <f t="shared" si="32"/>
        <v>&lt;tr&gt; &lt;td&gt; &lt;a href=https://federallibrary.us/DOD/DODI/6025.20/CURRENT/TITLE.html&gt; DODI 6025.20&lt;/a&gt; &lt;/td&gt; &lt;td&gt; Medical Management (MM) Programs in the Direct Care System (DCS) and Remote Areas &lt;/td&gt; &lt;/tr&gt;</v>
      </c>
    </row>
    <row r="686" spans="1:9" x14ac:dyDescent="0.25">
      <c r="A686" t="s">
        <v>1087</v>
      </c>
      <c r="B686" t="s">
        <v>876</v>
      </c>
      <c r="C686" t="str">
        <f t="shared" si="30"/>
        <v>6025.22</v>
      </c>
      <c r="D686" t="s">
        <v>1157</v>
      </c>
      <c r="E686" s="2">
        <v>42034</v>
      </c>
      <c r="G686" t="s">
        <v>684</v>
      </c>
      <c r="H686" t="str">
        <f t="shared" si="31"/>
        <v>https://federallibrary.us/DOD/DODI/6025.22/CURRENT/TITLE.html</v>
      </c>
      <c r="I686" t="str">
        <f t="shared" si="32"/>
        <v>&lt;tr&gt; &lt;td&gt; &lt;a href=https://federallibrary.us/DOD/DODI/6025.22/CURRENT/TITLE.html&gt; DODI 6025.22&lt;/a&gt; &lt;/td&gt; &lt;td&gt; Assistive Technology (AT) for Wounded, Ill, and Injured Service Members &lt;/td&gt; &lt;/tr&gt;</v>
      </c>
    </row>
    <row r="687" spans="1:9" x14ac:dyDescent="0.25">
      <c r="A687" t="s">
        <v>1087</v>
      </c>
      <c r="B687" t="s">
        <v>877</v>
      </c>
      <c r="C687" t="str">
        <f t="shared" si="30"/>
        <v>6025.23</v>
      </c>
      <c r="D687" t="s">
        <v>1157</v>
      </c>
      <c r="E687" s="2">
        <v>43979</v>
      </c>
      <c r="G687" t="s">
        <v>685</v>
      </c>
      <c r="H687" t="str">
        <f t="shared" si="31"/>
        <v>https://federallibrary.us/DOD/DODI/6025.23/CURRENT/TITLE.html</v>
      </c>
      <c r="I687" t="str">
        <f t="shared" si="32"/>
        <v>&lt;tr&gt; &lt;td&gt; &lt;a href=https://federallibrary.us/DOD/DODI/6025.23/CURRENT/TITLE.html&gt; DODI 6025.23&lt;/a&gt; &lt;/td&gt; &lt;td&gt; Health Care Eligibility Under the Secretarial Designee (SECDES) Program and Related Special Authorities &lt;/td&gt; &lt;/tr&gt;</v>
      </c>
    </row>
    <row r="688" spans="1:9" x14ac:dyDescent="0.25">
      <c r="A688" t="s">
        <v>1087</v>
      </c>
      <c r="B688" t="s">
        <v>878</v>
      </c>
      <c r="C688" t="str">
        <f t="shared" si="30"/>
        <v>6025.24</v>
      </c>
      <c r="D688" t="s">
        <v>1157</v>
      </c>
      <c r="E688" s="2">
        <v>42227</v>
      </c>
      <c r="G688" t="s">
        <v>686</v>
      </c>
      <c r="H688" t="str">
        <f t="shared" si="31"/>
        <v>https://federallibrary.us/DOD/DODI/6025.24/CURRENT/TITLE.html</v>
      </c>
      <c r="I688" t="str">
        <f t="shared" si="32"/>
        <v>&lt;tr&gt; &lt;td&gt; &lt;a href=https://federallibrary.us/DOD/DODI/6025.24/CURRENT/TITLE.html&gt; DODI 6025.24&lt;/a&gt; &lt;/td&gt; &lt;td&gt; Provision of Food and Beverages to Certain Uniformed Service Members, Former Members, and Dependents Not Receiving Inpatient Care in Medical Treatment Facilities (MTFS) &lt;/td&gt; &lt;/tr&gt;</v>
      </c>
    </row>
    <row r="689" spans="1:9" x14ac:dyDescent="0.25">
      <c r="A689" t="s">
        <v>1087</v>
      </c>
      <c r="B689" t="s">
        <v>851</v>
      </c>
      <c r="C689" t="str">
        <f t="shared" si="30"/>
        <v>6025.25</v>
      </c>
      <c r="D689" t="s">
        <v>1157</v>
      </c>
      <c r="E689" s="2">
        <v>42486</v>
      </c>
      <c r="G689" t="s">
        <v>687</v>
      </c>
      <c r="H689" t="str">
        <f t="shared" si="31"/>
        <v>https://federallibrary.us/DOD/DODI/6025.25/CURRENT/TITLE.html</v>
      </c>
      <c r="I689" t="str">
        <f t="shared" si="32"/>
        <v>&lt;tr&gt; &lt;td&gt; &lt;a href=https://federallibrary.us/DOD/DODI/6025.25/CURRENT/TITLE.html&gt; DODI 6025.25&lt;/a&gt; &lt;/td&gt; &lt;td&gt; Drug Take Back Program &lt;/td&gt; &lt;/tr&gt;</v>
      </c>
    </row>
    <row r="690" spans="1:9" x14ac:dyDescent="0.25">
      <c r="A690" t="s">
        <v>1087</v>
      </c>
      <c r="B690" t="s">
        <v>894</v>
      </c>
      <c r="C690" t="str">
        <f t="shared" si="30"/>
        <v>6025.26</v>
      </c>
      <c r="D690" t="s">
        <v>1157</v>
      </c>
      <c r="E690" s="2">
        <v>43039</v>
      </c>
      <c r="G690" t="s">
        <v>688</v>
      </c>
      <c r="H690" t="str">
        <f t="shared" si="31"/>
        <v>https://federallibrary.us/DOD/DODI/6025.26/CURRENT/TITLE.html</v>
      </c>
      <c r="I690" t="str">
        <f t="shared" si="32"/>
        <v>&lt;tr&gt; &lt;td&gt; &lt;a href=https://federallibrary.us/DOD/DODI/6025.26/CURRENT/TITLE.html&gt; DODI 6025.26&lt;/a&gt; &lt;/td&gt; &lt;td&gt; DoD Program for Combating Antibiotic-Resistant Bacteria (CARB) &lt;/td&gt; &lt;/tr&gt;</v>
      </c>
    </row>
    <row r="691" spans="1:9" x14ac:dyDescent="0.25">
      <c r="A691" t="s">
        <v>1087</v>
      </c>
      <c r="B691" t="s">
        <v>852</v>
      </c>
      <c r="C691" t="str">
        <f t="shared" si="30"/>
        <v>6025.27</v>
      </c>
      <c r="D691" t="s">
        <v>1157</v>
      </c>
      <c r="E691" s="2">
        <v>43047</v>
      </c>
      <c r="G691" t="s">
        <v>689</v>
      </c>
      <c r="H691" t="str">
        <f t="shared" si="31"/>
        <v>https://federallibrary.us/DOD/DODI/6025.27/CURRENT/TITLE.html</v>
      </c>
      <c r="I691" t="str">
        <f t="shared" si="32"/>
        <v>&lt;tr&gt; &lt;td&gt; &lt;a href=https://federallibrary.us/DOD/DODI/6025.27/CURRENT/TITLE.html&gt; DODI 6025.27&lt;/a&gt; &lt;/td&gt; &lt;td&gt; Medical Ethics In The Military Health System &lt;/td&gt; &lt;/tr&gt;</v>
      </c>
    </row>
    <row r="692" spans="1:9" x14ac:dyDescent="0.25">
      <c r="A692" t="s">
        <v>1087</v>
      </c>
      <c r="B692" t="s">
        <v>868</v>
      </c>
      <c r="C692" t="str">
        <f t="shared" si="30"/>
        <v>6025.05</v>
      </c>
      <c r="D692" t="s">
        <v>1157</v>
      </c>
      <c r="E692" s="2">
        <v>34705</v>
      </c>
      <c r="G692" t="s">
        <v>690</v>
      </c>
      <c r="H692" t="str">
        <f t="shared" si="31"/>
        <v>https://federallibrary.us/DOD/DODI/6025.05/CURRENT/TITLE.html</v>
      </c>
      <c r="I692" t="str">
        <f t="shared" si="32"/>
        <v>&lt;tr&gt; &lt;td&gt; &lt;a href=https://federallibrary.us/DOD/DODI/6025.05/CURRENT/TITLE.html&gt; DODI 6025.05&lt;/a&gt; &lt;/td&gt; &lt;td&gt; Personal Services Contracts (PSCs) for Health Care Providers (HCPs) &lt;/td&gt; &lt;/tr&gt;</v>
      </c>
    </row>
    <row r="693" spans="1:9" x14ac:dyDescent="0.25">
      <c r="A693" t="s">
        <v>1088</v>
      </c>
      <c r="B693" t="s">
        <v>1042</v>
      </c>
      <c r="C693" t="str">
        <f t="shared" si="30"/>
        <v>6040.40</v>
      </c>
      <c r="D693" t="s">
        <v>1157</v>
      </c>
      <c r="E693" s="2">
        <v>43826</v>
      </c>
      <c r="G693" t="s">
        <v>691</v>
      </c>
      <c r="H693" t="str">
        <f t="shared" si="31"/>
        <v>https://federallibrary.us/DOD/DODI/6040.40/CURRENT/TITLE.html</v>
      </c>
      <c r="I693" t="str">
        <f t="shared" si="32"/>
        <v>&lt;tr&gt; &lt;td&gt; &lt;a href=https://federallibrary.us/DOD/DODI/6040.40/CURRENT/TITLE.html&gt; DODI 6040.40&lt;/a&gt; &lt;/td&gt; &lt;td&gt; Military Health System (MHS) Data Quality Management Control (DQMC) Program &lt;/td&gt; &lt;/tr&gt;</v>
      </c>
    </row>
    <row r="694" spans="1:9" x14ac:dyDescent="0.25">
      <c r="A694" t="s">
        <v>1088</v>
      </c>
      <c r="B694" t="s">
        <v>912</v>
      </c>
      <c r="C694" t="str">
        <f t="shared" si="30"/>
        <v>6040.42</v>
      </c>
      <c r="D694" t="s">
        <v>1157</v>
      </c>
      <c r="E694" s="2">
        <v>42529</v>
      </c>
      <c r="G694" t="s">
        <v>692</v>
      </c>
      <c r="H694" t="str">
        <f t="shared" si="31"/>
        <v>https://federallibrary.us/DOD/DODI/6040.42/CURRENT/TITLE.html</v>
      </c>
      <c r="I694" t="str">
        <f t="shared" si="32"/>
        <v>&lt;tr&gt; &lt;td&gt; &lt;a href=https://federallibrary.us/DOD/DODI/6040.42/CURRENT/TITLE.html&gt; DODI 6040.42&lt;/a&gt; &lt;/td&gt; &lt;td&gt; Management Standards for Medical Coding of DoD Health Records &lt;/td&gt; &lt;/tr&gt;</v>
      </c>
    </row>
    <row r="695" spans="1:9" x14ac:dyDescent="0.25">
      <c r="A695" t="s">
        <v>1088</v>
      </c>
      <c r="B695" t="s">
        <v>1043</v>
      </c>
      <c r="C695" t="str">
        <f t="shared" si="30"/>
        <v>6040.44</v>
      </c>
      <c r="D695" t="s">
        <v>1157</v>
      </c>
      <c r="E695" s="2">
        <v>43073</v>
      </c>
      <c r="G695" t="s">
        <v>693</v>
      </c>
      <c r="H695" t="str">
        <f t="shared" si="31"/>
        <v>https://federallibrary.us/DOD/DODI/6040.44/CURRENT/TITLE.html</v>
      </c>
      <c r="I695" t="str">
        <f t="shared" si="32"/>
        <v>&lt;tr&gt; &lt;td&gt; &lt;a href=https://federallibrary.us/DOD/DODI/6040.44/CURRENT/TITLE.html&gt; DODI 6040.44&lt;/a&gt; &lt;/td&gt; &lt;td&gt; Physical Disability Board of Review (PDBR) &lt;/td&gt; &lt;/tr&gt;</v>
      </c>
    </row>
    <row r="696" spans="1:9" x14ac:dyDescent="0.25">
      <c r="A696" t="s">
        <v>1088</v>
      </c>
      <c r="B696" t="s">
        <v>914</v>
      </c>
      <c r="C696" t="str">
        <f t="shared" si="30"/>
        <v>6040.45</v>
      </c>
      <c r="D696" t="s">
        <v>1157</v>
      </c>
      <c r="E696" s="2">
        <v>42836</v>
      </c>
      <c r="G696" t="s">
        <v>694</v>
      </c>
      <c r="H696" t="str">
        <f t="shared" si="31"/>
        <v>https://federallibrary.us/DOD/DODI/6040.45/CURRENT/TITLE.html</v>
      </c>
      <c r="I696" t="str">
        <f t="shared" si="32"/>
        <v>&lt;tr&gt; &lt;td&gt; &lt;a href=https://federallibrary.us/DOD/DODI/6040.45/CURRENT/TITLE.html&gt; DODI 6040.45&lt;/a&gt; &lt;/td&gt; &lt;td&gt; DoD Health Record Life Cycle Management &lt;/td&gt; &lt;/tr&gt;</v>
      </c>
    </row>
    <row r="697" spans="1:9" x14ac:dyDescent="0.25">
      <c r="A697" t="s">
        <v>1088</v>
      </c>
      <c r="B697" t="s">
        <v>915</v>
      </c>
      <c r="C697" t="str">
        <f t="shared" si="30"/>
        <v>6040.46</v>
      </c>
      <c r="D697" t="s">
        <v>1157</v>
      </c>
      <c r="E697" s="2">
        <v>42474</v>
      </c>
      <c r="G697" t="s">
        <v>695</v>
      </c>
      <c r="H697" t="str">
        <f t="shared" si="31"/>
        <v>https://federallibrary.us/DOD/DODI/6040.46/CURRENT/TITLE.html</v>
      </c>
      <c r="I697" t="str">
        <f t="shared" si="32"/>
        <v>&lt;tr&gt; &lt;td&gt; &lt;a href=https://federallibrary.us/DOD/DODI/6040.46/CURRENT/TITLE.html&gt; DODI 6040.46&lt;/a&gt; &lt;/td&gt; &lt;td&gt; The Separation History and Physical Examination (SHPE) for the DoD Separation Health Assessment (SHA) Program &lt;/td&gt; &lt;/tr&gt;</v>
      </c>
    </row>
    <row r="698" spans="1:9" x14ac:dyDescent="0.25">
      <c r="A698" t="s">
        <v>1088</v>
      </c>
      <c r="B698" t="s">
        <v>951</v>
      </c>
      <c r="C698" t="str">
        <f t="shared" si="30"/>
        <v>6040.47</v>
      </c>
      <c r="D698" t="s">
        <v>1157</v>
      </c>
      <c r="E698" s="2">
        <v>44726</v>
      </c>
      <c r="G698" t="s">
        <v>696</v>
      </c>
      <c r="H698" t="str">
        <f t="shared" si="31"/>
        <v>https://federallibrary.us/DOD/DODI/6040.47/CURRENT/TITLE.html</v>
      </c>
      <c r="I698" t="str">
        <f t="shared" si="32"/>
        <v>&lt;tr&gt; &lt;td&gt; &lt;a href=https://federallibrary.us/DOD/DODI/6040.47/CURRENT/TITLE.html&gt; DODI 6040.47&lt;/a&gt; &lt;/td&gt; &lt;td&gt; Joint Trauma System &lt;/td&gt; &lt;/tr&gt;</v>
      </c>
    </row>
    <row r="699" spans="1:9" x14ac:dyDescent="0.25">
      <c r="A699" t="s">
        <v>1088</v>
      </c>
      <c r="B699" t="s">
        <v>952</v>
      </c>
      <c r="C699" t="str">
        <f t="shared" si="30"/>
        <v>6040.48</v>
      </c>
      <c r="D699" t="s">
        <v>1157</v>
      </c>
      <c r="E699" s="2">
        <v>43396</v>
      </c>
      <c r="G699" t="s">
        <v>697</v>
      </c>
      <c r="H699" t="str">
        <f t="shared" si="31"/>
        <v>https://federallibrary.us/DOD/DODI/6040.48/CURRENT/TITLE.html</v>
      </c>
      <c r="I699" t="str">
        <f t="shared" si="32"/>
        <v>&lt;tr&gt; &lt;td&gt; &lt;a href=https://federallibrary.us/DOD/DODI/6040.48/CURRENT/TITLE.html&gt; DODI 6040.48&lt;/a&gt; &lt;/td&gt; &lt;td&gt; Personal Health Records (PHR) and Patient- Controlled Data &lt;/td&gt; &lt;/tr&gt;</v>
      </c>
    </row>
    <row r="700" spans="1:9" x14ac:dyDescent="0.25">
      <c r="A700" t="s">
        <v>1089</v>
      </c>
      <c r="B700" t="s">
        <v>868</v>
      </c>
      <c r="C700" t="str">
        <f t="shared" si="30"/>
        <v>6050.05</v>
      </c>
      <c r="D700" t="s">
        <v>1157</v>
      </c>
      <c r="E700" s="2">
        <v>43626</v>
      </c>
      <c r="G700" t="s">
        <v>698</v>
      </c>
      <c r="H700" t="str">
        <f t="shared" si="31"/>
        <v>https://federallibrary.us/DOD/DODI/6050.05/CURRENT/TITLE.html</v>
      </c>
      <c r="I700" t="str">
        <f t="shared" si="32"/>
        <v>&lt;tr&gt; &lt;td&gt; &lt;a href=https://federallibrary.us/DOD/DODI/6050.05/CURRENT/TITLE.html&gt; DODI 6050.05&lt;/a&gt; &lt;/td&gt; &lt;td&gt; DoD Hazard Communication (HAZCOM) Program &lt;/td&gt; &lt;/tr&gt;</v>
      </c>
    </row>
    <row r="701" spans="1:9" x14ac:dyDescent="0.25">
      <c r="A701" t="s">
        <v>1090</v>
      </c>
      <c r="B701" t="s">
        <v>845</v>
      </c>
      <c r="C701" t="str">
        <f t="shared" si="30"/>
        <v>6055.01</v>
      </c>
      <c r="D701" t="s">
        <v>1157</v>
      </c>
      <c r="E701" s="2">
        <v>44307</v>
      </c>
      <c r="G701" t="s">
        <v>699</v>
      </c>
      <c r="H701" t="str">
        <f t="shared" si="31"/>
        <v>https://federallibrary.us/DOD/DODI/6055.01/CURRENT/TITLE.html</v>
      </c>
      <c r="I701" t="str">
        <f t="shared" si="32"/>
        <v>&lt;tr&gt; &lt;td&gt; &lt;a href=https://federallibrary.us/DOD/DODI/6055.01/CURRENT/TITLE.html&gt; DODI 6055.01&lt;/a&gt; &lt;/td&gt; &lt;td&gt; DoD Safety and Occupational Health (SOH) Program &lt;/td&gt; &lt;/tr&gt;</v>
      </c>
    </row>
    <row r="702" spans="1:9" x14ac:dyDescent="0.25">
      <c r="A702" t="s">
        <v>1090</v>
      </c>
      <c r="B702" t="s">
        <v>846</v>
      </c>
      <c r="C702" t="str">
        <f t="shared" si="30"/>
        <v>6055.04</v>
      </c>
      <c r="D702" t="s">
        <v>1157</v>
      </c>
      <c r="E702" s="2">
        <v>44435</v>
      </c>
      <c r="G702" t="s">
        <v>700</v>
      </c>
      <c r="H702" t="str">
        <f t="shared" si="31"/>
        <v>https://federallibrary.us/DOD/DODI/6055.04/CURRENT/TITLE.html</v>
      </c>
      <c r="I702" t="str">
        <f t="shared" si="32"/>
        <v>&lt;tr&gt; &lt;td&gt; &lt;a href=https://federallibrary.us/DOD/DODI/6055.04/CURRENT/TITLE.html&gt; DODI 6055.04&lt;/a&gt; &lt;/td&gt; &lt;td&gt; DoD Motor Vehicle and Traffic Safety &lt;/td&gt; &lt;/tr&gt;</v>
      </c>
    </row>
    <row r="703" spans="1:9" x14ac:dyDescent="0.25">
      <c r="A703" t="s">
        <v>1090</v>
      </c>
      <c r="B703" t="s">
        <v>868</v>
      </c>
      <c r="C703" t="str">
        <f t="shared" si="30"/>
        <v>6055.05</v>
      </c>
      <c r="D703" t="s">
        <v>1157</v>
      </c>
      <c r="E703" s="2">
        <v>43343</v>
      </c>
      <c r="G703" t="s">
        <v>701</v>
      </c>
      <c r="H703" t="str">
        <f t="shared" si="31"/>
        <v>https://federallibrary.us/DOD/DODI/6055.05/CURRENT/TITLE.html</v>
      </c>
      <c r="I703" t="str">
        <f t="shared" si="32"/>
        <v>&lt;tr&gt; &lt;td&gt; &lt;a href=https://federallibrary.us/DOD/DODI/6055.05/CURRENT/TITLE.html&gt; DODI 6055.05&lt;/a&gt; &lt;/td&gt; &lt;td&gt; Occupational and Environmental Health (OEH) &lt;/td&gt; &lt;/tr&gt;</v>
      </c>
    </row>
    <row r="704" spans="1:9" x14ac:dyDescent="0.25">
      <c r="A704" t="s">
        <v>1090</v>
      </c>
      <c r="B704" t="s">
        <v>858</v>
      </c>
      <c r="C704" t="str">
        <f t="shared" si="30"/>
        <v>6055.06</v>
      </c>
      <c r="D704" t="s">
        <v>1157</v>
      </c>
      <c r="E704" s="2">
        <v>43741</v>
      </c>
      <c r="G704" t="s">
        <v>702</v>
      </c>
      <c r="H704" t="str">
        <f t="shared" si="31"/>
        <v>https://federallibrary.us/DOD/DODI/6055.06/CURRENT/TITLE.html</v>
      </c>
      <c r="I704" t="str">
        <f t="shared" si="32"/>
        <v>&lt;tr&gt; &lt;td&gt; &lt;a href=https://federallibrary.us/DOD/DODI/6055.06/CURRENT/TITLE.html&gt; DODI 6055.06&lt;/a&gt; &lt;/td&gt; &lt;td&gt; DoD Fire and Emergency Services (F&amp;ES) Program &lt;/td&gt; &lt;/tr&gt;</v>
      </c>
    </row>
    <row r="705" spans="1:9" x14ac:dyDescent="0.25">
      <c r="A705" t="s">
        <v>1090</v>
      </c>
      <c r="B705" t="s">
        <v>871</v>
      </c>
      <c r="C705" t="str">
        <f t="shared" si="30"/>
        <v>6055.07</v>
      </c>
      <c r="D705" t="s">
        <v>1157</v>
      </c>
      <c r="E705" s="2">
        <v>43627</v>
      </c>
      <c r="G705" t="s">
        <v>703</v>
      </c>
      <c r="H705" t="str">
        <f t="shared" si="31"/>
        <v>https://federallibrary.us/DOD/DODI/6055.07/CURRENT/TITLE.html</v>
      </c>
      <c r="I705" t="str">
        <f t="shared" si="32"/>
        <v>&lt;tr&gt; &lt;td&gt; &lt;a href=https://federallibrary.us/DOD/DODI/6055.07/CURRENT/TITLE.html&gt; DODI 6055.07&lt;/a&gt; &lt;/td&gt; &lt;td&gt; Mishap Notification, Investigation, Reporting, and Record Keeping &lt;/td&gt; &lt;/tr&gt;</v>
      </c>
    </row>
    <row r="706" spans="1:9" x14ac:dyDescent="0.25">
      <c r="A706" t="s">
        <v>1090</v>
      </c>
      <c r="B706" t="s">
        <v>865</v>
      </c>
      <c r="C706" t="str">
        <f t="shared" si="30"/>
        <v>6055.08</v>
      </c>
      <c r="D706" t="s">
        <v>1157</v>
      </c>
      <c r="E706" s="2">
        <v>44295</v>
      </c>
      <c r="G706" t="s">
        <v>704</v>
      </c>
      <c r="H706" t="str">
        <f t="shared" si="31"/>
        <v>https://federallibrary.us/DOD/DODI/6055.08/CURRENT/TITLE.html</v>
      </c>
      <c r="I706" t="str">
        <f t="shared" si="32"/>
        <v>&lt;tr&gt; &lt;td&gt; &lt;a href=https://federallibrary.us/DOD/DODI/6055.08/CURRENT/TITLE.html&gt; DODI 6055.08&lt;/a&gt; &lt;/td&gt; &lt;td&gt; Occupational Ionizing Radiation Protection Program &lt;/td&gt; &lt;/tr&gt;</v>
      </c>
    </row>
    <row r="707" spans="1:9" x14ac:dyDescent="0.25">
      <c r="A707" t="s">
        <v>1090</v>
      </c>
      <c r="B707" t="s">
        <v>847</v>
      </c>
      <c r="C707" t="str">
        <f t="shared" ref="C707:C770" si="33">_xlfn.CONCAT(A707,".",B707)</f>
        <v>6055.11</v>
      </c>
      <c r="D707" t="s">
        <v>1157</v>
      </c>
      <c r="E707" s="2">
        <v>44328</v>
      </c>
      <c r="G707" t="s">
        <v>705</v>
      </c>
      <c r="H707" t="str">
        <f t="shared" ref="H707:H770" si="34">IF(D707="CURRENT",_xlfn.CONCAT("https://federallibrary.us/DOD/DODI/",C707,"/CURRENT/TITLE.html"),"")</f>
        <v>https://federallibrary.us/DOD/DODI/6055.11/CURRENT/TITLE.html</v>
      </c>
      <c r="I707" t="str">
        <f t="shared" ref="I707:I770" si="35">IF(D707="CURRENT",_xlfn.CONCAT("&lt;tr&gt; &lt;td&gt; &lt;a href=",H707,"&gt; DODI ",C707, "&lt;/a&gt; &lt;/td&gt; &lt;td&gt; ", G707, " &lt;/td&gt; &lt;/tr&gt;"),"")</f>
        <v>&lt;tr&gt; &lt;td&gt; &lt;a href=https://federallibrary.us/DOD/DODI/6055.11/CURRENT/TITLE.html&gt; DODI 6055.11&lt;/a&gt; &lt;/td&gt; &lt;td&gt; Protecting Personnel from Electromagnetic Fields &lt;/td&gt; &lt;/tr&gt;</v>
      </c>
    </row>
    <row r="708" spans="1:9" x14ac:dyDescent="0.25">
      <c r="A708" t="s">
        <v>1090</v>
      </c>
      <c r="B708" t="s">
        <v>886</v>
      </c>
      <c r="C708" t="str">
        <f t="shared" si="33"/>
        <v>6055.12</v>
      </c>
      <c r="D708" t="s">
        <v>1157</v>
      </c>
      <c r="E708" s="2">
        <v>45252</v>
      </c>
      <c r="G708" t="s">
        <v>706</v>
      </c>
      <c r="H708" t="str">
        <f t="shared" si="34"/>
        <v>https://federallibrary.us/DOD/DODI/6055.12/CURRENT/TITLE.html</v>
      </c>
      <c r="I708" t="str">
        <f t="shared" si="35"/>
        <v>&lt;tr&gt; &lt;td&gt; &lt;a href=https://federallibrary.us/DOD/DODI/6055.12/CURRENT/TITLE.html&gt; DODI 6055.12&lt;/a&gt; &lt;/td&gt; &lt;td&gt; Hearing Conservation Program  &lt;/td&gt; &lt;/tr&gt;</v>
      </c>
    </row>
    <row r="709" spans="1:9" x14ac:dyDescent="0.25">
      <c r="A709" t="s">
        <v>1090</v>
      </c>
      <c r="B709" t="s">
        <v>849</v>
      </c>
      <c r="C709" t="str">
        <f t="shared" si="33"/>
        <v>6055.15</v>
      </c>
      <c r="D709" t="s">
        <v>1157</v>
      </c>
      <c r="E709" s="2">
        <v>45163</v>
      </c>
      <c r="G709" t="s">
        <v>707</v>
      </c>
      <c r="H709" t="str">
        <f t="shared" si="34"/>
        <v>https://federallibrary.us/DOD/DODI/6055.15/CURRENT/TITLE.html</v>
      </c>
      <c r="I709" t="str">
        <f t="shared" si="35"/>
        <v>&lt;tr&gt; &lt;td&gt; &lt;a href=https://federallibrary.us/DOD/DODI/6055.15/CURRENT/TITLE.html&gt; DODI 6055.15&lt;/a&gt; &lt;/td&gt; &lt;td&gt; DoD Laser Protection Program for Military Lasers &lt;/td&gt; &lt;/tr&gt;</v>
      </c>
    </row>
    <row r="710" spans="1:9" x14ac:dyDescent="0.25">
      <c r="A710" t="s">
        <v>1090</v>
      </c>
      <c r="B710" t="s">
        <v>860</v>
      </c>
      <c r="C710" t="str">
        <f t="shared" si="33"/>
        <v>6055.16</v>
      </c>
      <c r="D710" t="s">
        <v>1157</v>
      </c>
      <c r="E710" s="2">
        <v>43343</v>
      </c>
      <c r="G710" t="s">
        <v>708</v>
      </c>
      <c r="H710" t="str">
        <f t="shared" si="34"/>
        <v>https://federallibrary.us/DOD/DODI/6055.16/CURRENT/TITLE.html</v>
      </c>
      <c r="I710" t="str">
        <f t="shared" si="35"/>
        <v>&lt;tr&gt; &lt;td&gt; &lt;a href=https://federallibrary.us/DOD/DODI/6055.16/CURRENT/TITLE.html&gt; DODI 6055.16&lt;/a&gt; &lt;/td&gt; &lt;td&gt; Explosives Safety Management Program &lt;/td&gt; &lt;/tr&gt;</v>
      </c>
    </row>
    <row r="711" spans="1:9" x14ac:dyDescent="0.25">
      <c r="A711" t="s">
        <v>1090</v>
      </c>
      <c r="B711" t="s">
        <v>850</v>
      </c>
      <c r="C711" t="str">
        <f t="shared" si="33"/>
        <v>6055.17</v>
      </c>
      <c r="D711" t="s">
        <v>1157</v>
      </c>
      <c r="E711" s="2">
        <v>43628</v>
      </c>
      <c r="G711" t="s">
        <v>709</v>
      </c>
      <c r="H711" t="str">
        <f t="shared" si="34"/>
        <v>https://federallibrary.us/DOD/DODI/6055.17/CURRENT/TITLE.html</v>
      </c>
      <c r="I711" t="str">
        <f t="shared" si="35"/>
        <v>&lt;tr&gt; &lt;td&gt; &lt;a href=https://federallibrary.us/DOD/DODI/6055.17/CURRENT/TITLE.html&gt; DODI 6055.17&lt;/a&gt; &lt;/td&gt; &lt;td&gt; DoD Emergency Management (EM) Program &lt;/td&gt; &lt;/tr&gt;</v>
      </c>
    </row>
    <row r="712" spans="1:9" x14ac:dyDescent="0.25">
      <c r="A712" t="s">
        <v>1090</v>
      </c>
      <c r="B712" t="s">
        <v>893</v>
      </c>
      <c r="C712" t="str">
        <f t="shared" si="33"/>
        <v>6055.19</v>
      </c>
      <c r="D712" t="s">
        <v>1157</v>
      </c>
      <c r="E712" s="2">
        <v>43626</v>
      </c>
      <c r="G712" t="s">
        <v>710</v>
      </c>
      <c r="H712" t="str">
        <f t="shared" si="34"/>
        <v>https://federallibrary.us/DOD/DODI/6055.19/CURRENT/TITLE.html</v>
      </c>
      <c r="I712" t="str">
        <f t="shared" si="35"/>
        <v>&lt;tr&gt; &lt;td&gt; &lt;a href=https://federallibrary.us/DOD/DODI/6055.19/CURRENT/TITLE.html&gt; DODI 6055.19&lt;/a&gt; &lt;/td&gt; &lt;td&gt; Aviation Hazard Identification and Risk Assessment Programs (AHIRAPs) &lt;/td&gt; &lt;/tr&gt;</v>
      </c>
    </row>
    <row r="713" spans="1:9" x14ac:dyDescent="0.25">
      <c r="A713" t="s">
        <v>1090</v>
      </c>
      <c r="B713" t="s">
        <v>905</v>
      </c>
      <c r="C713" t="str">
        <f t="shared" si="33"/>
        <v>6055.20</v>
      </c>
      <c r="D713" t="s">
        <v>1157</v>
      </c>
      <c r="E713" s="2">
        <v>43626</v>
      </c>
      <c r="G713" t="s">
        <v>711</v>
      </c>
      <c r="H713" t="str">
        <f t="shared" si="34"/>
        <v>https://federallibrary.us/DOD/DODI/6055.20/CURRENT/TITLE.html</v>
      </c>
      <c r="I713" t="str">
        <f t="shared" si="35"/>
        <v>&lt;tr&gt; &lt;td&gt; &lt;a href=https://federallibrary.us/DOD/DODI/6055.20/CURRENT/TITLE.html&gt; DODI 6055.20&lt;/a&gt; &lt;/td&gt; &lt;td&gt; Assessment of Significant Long-Term Health Risks From Past Environmental Exposures on Military Installations &lt;/td&gt; &lt;/tr&gt;</v>
      </c>
    </row>
    <row r="714" spans="1:9" x14ac:dyDescent="0.25">
      <c r="A714" t="s">
        <v>1091</v>
      </c>
      <c r="B714" t="s">
        <v>870</v>
      </c>
      <c r="C714" t="str">
        <f t="shared" si="33"/>
        <v>6060.02</v>
      </c>
      <c r="D714" t="s">
        <v>1157</v>
      </c>
      <c r="E714" s="2">
        <v>44075</v>
      </c>
      <c r="G714" t="s">
        <v>712</v>
      </c>
      <c r="H714" t="str">
        <f t="shared" si="34"/>
        <v>https://federallibrary.us/DOD/DODI/6060.02/CURRENT/TITLE.html</v>
      </c>
      <c r="I714" t="str">
        <f t="shared" si="35"/>
        <v>&lt;tr&gt; &lt;td&gt; &lt;a href=https://federallibrary.us/DOD/DODI/6060.02/CURRENT/TITLE.html&gt; DODI 6060.02&lt;/a&gt; &lt;/td&gt; &lt;td&gt; Child Development Programs (CDPS) &lt;/td&gt; &lt;/tr&gt;</v>
      </c>
    </row>
    <row r="715" spans="1:9" x14ac:dyDescent="0.25">
      <c r="A715" t="s">
        <v>1091</v>
      </c>
      <c r="B715" t="s">
        <v>846</v>
      </c>
      <c r="C715" t="str">
        <f t="shared" si="33"/>
        <v>6060.04</v>
      </c>
      <c r="D715" t="s">
        <v>1157</v>
      </c>
      <c r="E715" s="2">
        <v>43803</v>
      </c>
      <c r="G715" t="s">
        <v>713</v>
      </c>
      <c r="H715" t="str">
        <f t="shared" si="34"/>
        <v>https://federallibrary.us/DOD/DODI/6060.04/CURRENT/TITLE.html</v>
      </c>
      <c r="I715" t="str">
        <f t="shared" si="35"/>
        <v>&lt;tr&gt; &lt;td&gt; &lt;a href=https://federallibrary.us/DOD/DODI/6060.04/CURRENT/TITLE.html&gt; DODI 6060.04&lt;/a&gt; &lt;/td&gt; &lt;td&gt; Youth Services (YS) Policy &lt;/td&gt; &lt;/tr&gt;</v>
      </c>
    </row>
    <row r="716" spans="1:9" x14ac:dyDescent="0.25">
      <c r="A716" t="s">
        <v>1092</v>
      </c>
      <c r="B716" t="s">
        <v>833</v>
      </c>
      <c r="C716" t="str">
        <f t="shared" si="33"/>
        <v>6130.03VOL1</v>
      </c>
      <c r="D716" t="s">
        <v>1157</v>
      </c>
      <c r="E716" s="2">
        <v>44881</v>
      </c>
      <c r="G716" t="s">
        <v>714</v>
      </c>
      <c r="H716" t="str">
        <f t="shared" si="34"/>
        <v>https://federallibrary.us/DOD/DODI/6130.03VOL1/CURRENT/TITLE.html</v>
      </c>
      <c r="I716" t="str">
        <f t="shared" si="35"/>
        <v>&lt;tr&gt; &lt;td&gt; &lt;a href=https://federallibrary.us/DOD/DODI/6130.03VOL1/CURRENT/TITLE.html&gt; DODI 6130.03VOL1&lt;/a&gt; &lt;/td&gt; &lt;td&gt; Medical Standards for Military Service: Appointment, Enlistment, or Induction &lt;/td&gt; &lt;/tr&gt;</v>
      </c>
    </row>
    <row r="717" spans="1:9" x14ac:dyDescent="0.25">
      <c r="A717" t="s">
        <v>1092</v>
      </c>
      <c r="B717" t="s">
        <v>834</v>
      </c>
      <c r="C717" t="str">
        <f t="shared" si="33"/>
        <v>6130.03VOL2</v>
      </c>
      <c r="D717" t="s">
        <v>1157</v>
      </c>
      <c r="E717" s="2">
        <v>44718</v>
      </c>
      <c r="G717" t="s">
        <v>715</v>
      </c>
      <c r="H717" t="str">
        <f t="shared" si="34"/>
        <v>https://federallibrary.us/DOD/DODI/6130.03VOL2/CURRENT/TITLE.html</v>
      </c>
      <c r="I717" t="str">
        <f t="shared" si="35"/>
        <v>&lt;tr&gt; &lt;td&gt; &lt;a href=https://federallibrary.us/DOD/DODI/6130.03VOL2/CURRENT/TITLE.html&gt; DODI 6130.03VOL2&lt;/a&gt; &lt;/td&gt; &lt;td&gt; Medical Standards for Military Service: Retention &lt;/td&gt; &lt;/tr&gt;</v>
      </c>
    </row>
    <row r="718" spans="1:9" x14ac:dyDescent="0.25">
      <c r="A718" t="s">
        <v>1092</v>
      </c>
      <c r="B718" t="s">
        <v>868</v>
      </c>
      <c r="C718" t="str">
        <f t="shared" si="33"/>
        <v>6130.05</v>
      </c>
      <c r="D718" t="s">
        <v>1157</v>
      </c>
      <c r="E718" s="2">
        <v>43922</v>
      </c>
      <c r="G718" t="s">
        <v>716</v>
      </c>
      <c r="H718" t="str">
        <f t="shared" si="34"/>
        <v>https://federallibrary.us/DOD/DODI/6130.05/CURRENT/TITLE.html</v>
      </c>
      <c r="I718" t="str">
        <f t="shared" si="35"/>
        <v>&lt;tr&gt; &lt;td&gt; &lt;a href=https://federallibrary.us/DOD/DODI/6130.05/CURRENT/TITLE.html&gt; DODI 6130.05&lt;/a&gt; &lt;/td&gt; &lt;td&gt; DoD Nutrition Committee &lt;/td&gt; &lt;/tr&gt;</v>
      </c>
    </row>
    <row r="719" spans="1:9" x14ac:dyDescent="0.25">
      <c r="A719" t="s">
        <v>1092</v>
      </c>
      <c r="B719" t="s">
        <v>858</v>
      </c>
      <c r="C719" t="str">
        <f t="shared" si="33"/>
        <v>6130.06</v>
      </c>
      <c r="D719" t="s">
        <v>1157</v>
      </c>
      <c r="E719" s="2">
        <v>44629</v>
      </c>
      <c r="G719" t="s">
        <v>717</v>
      </c>
      <c r="H719" t="str">
        <f t="shared" si="34"/>
        <v>https://federallibrary.us/DOD/DODI/6130.06/CURRENT/TITLE.html</v>
      </c>
      <c r="I719" t="str">
        <f t="shared" si="35"/>
        <v>&lt;tr&gt; &lt;td&gt; &lt;a href=https://federallibrary.us/DOD/DODI/6130.06/CURRENT/TITLE.html&gt; DODI 6130.06&lt;/a&gt; &lt;/td&gt; &lt;td&gt; Use of Dietary Supplements in the DoD &lt;/td&gt; &lt;/tr&gt;</v>
      </c>
    </row>
    <row r="720" spans="1:9" x14ac:dyDescent="0.25">
      <c r="A720" t="s">
        <v>1093</v>
      </c>
      <c r="B720" t="s">
        <v>870</v>
      </c>
      <c r="C720" t="str">
        <f t="shared" si="33"/>
        <v>6200.02</v>
      </c>
      <c r="D720" t="s">
        <v>1157</v>
      </c>
      <c r="E720" s="2">
        <v>39505</v>
      </c>
      <c r="G720" t="s">
        <v>718</v>
      </c>
      <c r="H720" t="str">
        <f t="shared" si="34"/>
        <v>https://federallibrary.us/DOD/DODI/6200.02/CURRENT/TITLE.html</v>
      </c>
      <c r="I720" t="str">
        <f t="shared" si="35"/>
        <v>&lt;tr&gt; &lt;td&gt; &lt;a href=https://federallibrary.us/DOD/DODI/6200.02/CURRENT/TITLE.html&gt; DODI 6200.02&lt;/a&gt; &lt;/td&gt; &lt;td&gt; Application of Food and Drug Administration (FDA) Rules to Department of Defense Force Health Protection Programs &lt;/td&gt; &lt;/tr&gt;</v>
      </c>
    </row>
    <row r="721" spans="1:9" x14ac:dyDescent="0.25">
      <c r="A721" t="s">
        <v>1093</v>
      </c>
      <c r="B721" t="s">
        <v>867</v>
      </c>
      <c r="C721" t="str">
        <f t="shared" si="33"/>
        <v>6200.03</v>
      </c>
      <c r="D721" t="s">
        <v>1157</v>
      </c>
      <c r="E721" s="2">
        <v>43552</v>
      </c>
      <c r="G721" t="s">
        <v>719</v>
      </c>
      <c r="H721" t="str">
        <f t="shared" si="34"/>
        <v>https://federallibrary.us/DOD/DODI/6200.03/CURRENT/TITLE.html</v>
      </c>
      <c r="I721" t="str">
        <f t="shared" si="35"/>
        <v>&lt;tr&gt; &lt;td&gt; &lt;a href=https://federallibrary.us/DOD/DODI/6200.03/CURRENT/TITLE.html&gt; DODI 6200.03&lt;/a&gt; &lt;/td&gt; &lt;td&gt; Public Health Emergency Management (PHEM) Within the DoD &lt;/td&gt; &lt;/tr&gt;</v>
      </c>
    </row>
    <row r="722" spans="1:9" x14ac:dyDescent="0.25">
      <c r="A722" t="s">
        <v>1093</v>
      </c>
      <c r="B722" t="s">
        <v>868</v>
      </c>
      <c r="C722" t="str">
        <f t="shared" si="33"/>
        <v>6200.05</v>
      </c>
      <c r="D722" t="s">
        <v>1157</v>
      </c>
      <c r="E722" s="2">
        <v>43090</v>
      </c>
      <c r="G722" t="s">
        <v>720</v>
      </c>
      <c r="H722" t="str">
        <f t="shared" si="34"/>
        <v>https://federallibrary.us/DOD/DODI/6200.05/CURRENT/TITLE.html</v>
      </c>
      <c r="I722" t="str">
        <f t="shared" si="35"/>
        <v>&lt;tr&gt; &lt;td&gt; &lt;a href=https://federallibrary.us/DOD/DODI/6200.05/CURRENT/TITLE.html&gt; DODI 6200.05&lt;/a&gt; &lt;/td&gt; &lt;td&gt; Force Health Protection Quality Assurance (FHPQA) Program &lt;/td&gt; &lt;/tr&gt;</v>
      </c>
    </row>
    <row r="723" spans="1:9" x14ac:dyDescent="0.25">
      <c r="A723" t="s">
        <v>1093</v>
      </c>
      <c r="B723" t="s">
        <v>858</v>
      </c>
      <c r="C723" t="str">
        <f t="shared" si="33"/>
        <v>6200.06</v>
      </c>
      <c r="D723" t="s">
        <v>1157</v>
      </c>
      <c r="E723" s="2">
        <v>42621</v>
      </c>
      <c r="G723" t="s">
        <v>721</v>
      </c>
      <c r="H723" t="str">
        <f t="shared" si="34"/>
        <v>https://federallibrary.us/DOD/DODI/6200.06/CURRENT/TITLE.html</v>
      </c>
      <c r="I723" t="str">
        <f t="shared" si="35"/>
        <v>&lt;tr&gt; &lt;td&gt; &lt;a href=https://federallibrary.us/DOD/DODI/6200.06/CURRENT/TITLE.html&gt; DODI 6200.06&lt;/a&gt; &lt;/td&gt; &lt;td&gt; Periodic Health Assessment (PHA) Program &lt;/td&gt; &lt;/tr&gt;</v>
      </c>
    </row>
    <row r="724" spans="1:9" x14ac:dyDescent="0.25">
      <c r="A724" t="s">
        <v>1093</v>
      </c>
      <c r="B724" t="s">
        <v>871</v>
      </c>
      <c r="C724" t="str">
        <f t="shared" si="33"/>
        <v>6200.07</v>
      </c>
      <c r="D724" t="s">
        <v>1157</v>
      </c>
      <c r="E724" s="2">
        <v>42956</v>
      </c>
      <c r="G724" t="s">
        <v>722</v>
      </c>
      <c r="H724" t="str">
        <f t="shared" si="34"/>
        <v>https://federallibrary.us/DOD/DODI/6200.07/CURRENT/TITLE.html</v>
      </c>
      <c r="I724" t="str">
        <f t="shared" si="35"/>
        <v>&lt;tr&gt; &lt;td&gt; &lt;a href=https://federallibrary.us/DOD/DODI/6200.07/CURRENT/TITLE.html&gt; DODI 6200.07&lt;/a&gt; &lt;/td&gt; &lt;td&gt; Delivery of Direct Health Care to Non-Detainee Host Nation (HN) Civilians &lt;/td&gt; &lt;/tr&gt;</v>
      </c>
    </row>
    <row r="725" spans="1:9" x14ac:dyDescent="0.25">
      <c r="A725" t="s">
        <v>1094</v>
      </c>
      <c r="B725" t="s">
        <v>870</v>
      </c>
      <c r="C725" t="str">
        <f t="shared" si="33"/>
        <v>6205.02</v>
      </c>
      <c r="D725" t="s">
        <v>1157</v>
      </c>
      <c r="E725" s="2">
        <v>44984</v>
      </c>
      <c r="G725" t="s">
        <v>723</v>
      </c>
      <c r="H725" t="str">
        <f t="shared" si="34"/>
        <v>https://federallibrary.us/DOD/DODI/6205.02/CURRENT/TITLE.html</v>
      </c>
      <c r="I725" t="str">
        <f t="shared" si="35"/>
        <v>&lt;tr&gt; &lt;td&gt; &lt;a href=https://federallibrary.us/DOD/DODI/6205.02/CURRENT/TITLE.html&gt; DODI 6205.02&lt;/a&gt; &lt;/td&gt; &lt;td&gt; DoD Immunization Program  &lt;/td&gt; &lt;/tr&gt;</v>
      </c>
    </row>
    <row r="726" spans="1:9" x14ac:dyDescent="0.25">
      <c r="A726" t="s">
        <v>1095</v>
      </c>
      <c r="B726" t="s">
        <v>862</v>
      </c>
      <c r="C726" t="str">
        <f t="shared" si="33"/>
        <v>6310.09</v>
      </c>
      <c r="D726" t="s">
        <v>1157</v>
      </c>
      <c r="E726" s="2">
        <v>43592</v>
      </c>
      <c r="G726" t="s">
        <v>724</v>
      </c>
      <c r="H726" t="str">
        <f t="shared" si="34"/>
        <v>https://federallibrary.us/DOD/DODI/6310.09/CURRENT/TITLE.html</v>
      </c>
      <c r="I726" t="str">
        <f t="shared" si="35"/>
        <v>&lt;tr&gt; &lt;td&gt; &lt;a href=https://federallibrary.us/DOD/DODI/6310.09/CURRENT/TITLE.html&gt; DODI 6310.09&lt;/a&gt; &lt;/td&gt; &lt;td&gt; Healthcare Management for Patients Associated with a Sexual Assault &lt;/td&gt; &lt;/tr&gt;</v>
      </c>
    </row>
    <row r="727" spans="1:9" x14ac:dyDescent="0.25">
      <c r="A727" t="s">
        <v>1096</v>
      </c>
      <c r="B727" t="s">
        <v>845</v>
      </c>
      <c r="C727" t="str">
        <f t="shared" si="33"/>
        <v>6400.01</v>
      </c>
      <c r="D727" t="s">
        <v>1157</v>
      </c>
      <c r="E727" s="2">
        <v>43586</v>
      </c>
      <c r="G727" t="s">
        <v>725</v>
      </c>
      <c r="H727" t="str">
        <f t="shared" si="34"/>
        <v>https://federallibrary.us/DOD/DODI/6400.01/CURRENT/TITLE.html</v>
      </c>
      <c r="I727" t="str">
        <f t="shared" si="35"/>
        <v>&lt;tr&gt; &lt;td&gt; &lt;a href=https://federallibrary.us/DOD/DODI/6400.01/CURRENT/TITLE.html&gt; DODI 6400.01&lt;/a&gt; &lt;/td&gt; &lt;td&gt; Family Advocacy Program (FAP) &lt;/td&gt; &lt;/tr&gt;</v>
      </c>
    </row>
    <row r="728" spans="1:9" x14ac:dyDescent="0.25">
      <c r="A728" t="s">
        <v>1096</v>
      </c>
      <c r="B728" t="s">
        <v>867</v>
      </c>
      <c r="C728" t="str">
        <f t="shared" si="33"/>
        <v>6400.03</v>
      </c>
      <c r="D728" t="s">
        <v>1157</v>
      </c>
      <c r="E728" s="2">
        <v>42828</v>
      </c>
      <c r="G728" t="s">
        <v>726</v>
      </c>
      <c r="H728" t="str">
        <f t="shared" si="34"/>
        <v>https://federallibrary.us/DOD/DODI/6400.03/CURRENT/TITLE.html</v>
      </c>
      <c r="I728" t="str">
        <f t="shared" si="35"/>
        <v>&lt;tr&gt; &lt;td&gt; &lt;a href=https://federallibrary.us/DOD/DODI/6400.03/CURRENT/TITLE.html&gt; DODI 6400.03&lt;/a&gt; &lt;/td&gt; &lt;td&gt; Family Advocacy Command Assistance Team (FACAT) &lt;/td&gt; &lt;/tr&gt;</v>
      </c>
    </row>
    <row r="729" spans="1:9" x14ac:dyDescent="0.25">
      <c r="A729" t="s">
        <v>1096</v>
      </c>
      <c r="B729" t="s">
        <v>868</v>
      </c>
      <c r="C729" t="str">
        <f t="shared" si="33"/>
        <v>6400.05</v>
      </c>
      <c r="D729" t="s">
        <v>1157</v>
      </c>
      <c r="E729" s="2">
        <v>43936</v>
      </c>
      <c r="G729" t="s">
        <v>727</v>
      </c>
      <c r="H729" t="str">
        <f t="shared" si="34"/>
        <v>https://federallibrary.us/DOD/DODI/6400.05/CURRENT/TITLE.html</v>
      </c>
      <c r="I729" t="str">
        <f t="shared" si="35"/>
        <v>&lt;tr&gt; &lt;td&gt; &lt;a href=https://federallibrary.us/DOD/DODI/6400.05/CURRENT/TITLE.html&gt; DODI 6400.05&lt;/a&gt; &lt;/td&gt; &lt;td&gt; New Parent Support Program (NPSP) &lt;/td&gt; &lt;/tr&gt;</v>
      </c>
    </row>
    <row r="730" spans="1:9" x14ac:dyDescent="0.25">
      <c r="A730" t="s">
        <v>1096</v>
      </c>
      <c r="B730" t="s">
        <v>858</v>
      </c>
      <c r="C730" t="str">
        <f t="shared" si="33"/>
        <v>6400.06</v>
      </c>
      <c r="D730" t="s">
        <v>1157</v>
      </c>
      <c r="E730" s="2">
        <v>45062</v>
      </c>
      <c r="G730" t="s">
        <v>728</v>
      </c>
      <c r="H730" t="str">
        <f t="shared" si="34"/>
        <v>https://federallibrary.us/DOD/DODI/6400.06/CURRENT/TITLE.html</v>
      </c>
      <c r="I730" t="str">
        <f t="shared" si="35"/>
        <v>&lt;tr&gt; &lt;td&gt; &lt;a href=https://federallibrary.us/DOD/DODI/6400.06/CURRENT/TITLE.html&gt; DODI 6400.06&lt;/a&gt; &lt;/td&gt; &lt;td&gt; DoD Coordinated Community Response to Domestic Abuse Involving DoD Military and Certain Affiliated Personnel &lt;/td&gt; &lt;/tr&gt;</v>
      </c>
    </row>
    <row r="731" spans="1:9" x14ac:dyDescent="0.25">
      <c r="A731" t="s">
        <v>1096</v>
      </c>
      <c r="B731" t="s">
        <v>871</v>
      </c>
      <c r="C731" t="str">
        <f t="shared" si="33"/>
        <v>6400.07</v>
      </c>
      <c r="D731" t="s">
        <v>1157</v>
      </c>
      <c r="E731" s="2">
        <v>43287</v>
      </c>
      <c r="G731" t="s">
        <v>729</v>
      </c>
      <c r="H731" t="str">
        <f t="shared" si="34"/>
        <v>https://federallibrary.us/DOD/DODI/6400.07/CURRENT/TITLE.html</v>
      </c>
      <c r="I731" t="str">
        <f t="shared" si="35"/>
        <v>&lt;tr&gt; &lt;td&gt; &lt;a href=https://federallibrary.us/DOD/DODI/6400.07/CURRENT/TITLE.html&gt; DODI 6400.07&lt;/a&gt; &lt;/td&gt; &lt;td&gt; Standards for Victim Assistance Services in the Military Community &lt;/td&gt; &lt;/tr&gt;</v>
      </c>
    </row>
    <row r="732" spans="1:9" x14ac:dyDescent="0.25">
      <c r="A732" t="s">
        <v>1096</v>
      </c>
      <c r="B732" t="s">
        <v>862</v>
      </c>
      <c r="C732" t="str">
        <f t="shared" si="33"/>
        <v>6400.09</v>
      </c>
      <c r="D732" t="s">
        <v>1157</v>
      </c>
      <c r="E732" s="2">
        <v>44085</v>
      </c>
      <c r="G732" t="s">
        <v>730</v>
      </c>
      <c r="H732" t="str">
        <f t="shared" si="34"/>
        <v>https://federallibrary.us/DOD/DODI/6400.09/CURRENT/TITLE.html</v>
      </c>
      <c r="I732" t="str">
        <f t="shared" si="35"/>
        <v>&lt;tr&gt; &lt;td&gt; &lt;a href=https://federallibrary.us/DOD/DODI/6400.09/CURRENT/TITLE.html&gt; DODI 6400.09&lt;/a&gt; &lt;/td&gt; &lt;td&gt; DoD Policy on Integrated Primary Prevention of Self-Directed Harm and Prohibited Abuse or Harm &lt;/td&gt; &lt;/tr&gt;</v>
      </c>
    </row>
    <row r="733" spans="1:9" x14ac:dyDescent="0.25">
      <c r="A733" t="s">
        <v>1096</v>
      </c>
      <c r="B733" t="s">
        <v>863</v>
      </c>
      <c r="C733" t="str">
        <f t="shared" si="33"/>
        <v>6400.10</v>
      </c>
      <c r="D733" t="s">
        <v>1157</v>
      </c>
      <c r="E733" s="2">
        <v>44560</v>
      </c>
      <c r="G733" t="s">
        <v>731</v>
      </c>
      <c r="H733" t="str">
        <f t="shared" si="34"/>
        <v>https://federallibrary.us/DOD/DODI/6400.10/CURRENT/TITLE.html</v>
      </c>
      <c r="I733" t="str">
        <f t="shared" si="35"/>
        <v>&lt;tr&gt; &lt;td&gt; &lt;a href=https://federallibrary.us/DOD/DODI/6400.10/CURRENT/TITLE.html&gt; DODI 6400.10&lt;/a&gt; &lt;/td&gt; &lt;td&gt; DoD Coordinated Community Response to Problematic Sexual Behavior in Children and Youth &lt;/td&gt; &lt;/tr&gt;</v>
      </c>
    </row>
    <row r="734" spans="1:9" x14ac:dyDescent="0.25">
      <c r="A734" t="s">
        <v>1096</v>
      </c>
      <c r="B734" t="s">
        <v>847</v>
      </c>
      <c r="C734" t="str">
        <f t="shared" si="33"/>
        <v>6400.11</v>
      </c>
      <c r="D734" t="s">
        <v>1157</v>
      </c>
      <c r="E734" s="2">
        <v>45020</v>
      </c>
      <c r="G734" t="s">
        <v>732</v>
      </c>
      <c r="H734" t="str">
        <f t="shared" si="34"/>
        <v>https://federallibrary.us/DOD/DODI/6400.11/CURRENT/TITLE.html</v>
      </c>
      <c r="I734" t="str">
        <f t="shared" si="35"/>
        <v>&lt;tr&gt; &lt;td&gt; &lt;a href=https://federallibrary.us/DOD/DODI/6400.11/CURRENT/TITLE.html&gt; DODI 6400.11&lt;/a&gt; &lt;/td&gt; &lt;td&gt; DoD Integrated Primary Prevention Policy for Prevention Workforce and Leaders &lt;/td&gt; &lt;/tr&gt;</v>
      </c>
    </row>
    <row r="735" spans="1:9" x14ac:dyDescent="0.25">
      <c r="A735" t="s">
        <v>1097</v>
      </c>
      <c r="B735" t="s">
        <v>845</v>
      </c>
      <c r="C735" t="str">
        <f t="shared" si="33"/>
        <v>6420.01</v>
      </c>
      <c r="D735" t="s">
        <v>1157</v>
      </c>
      <c r="E735" s="2">
        <v>44082</v>
      </c>
      <c r="G735" t="s">
        <v>733</v>
      </c>
      <c r="H735" t="str">
        <f t="shared" si="34"/>
        <v>https://federallibrary.us/DOD/DODI/6420.01/CURRENT/TITLE.html</v>
      </c>
      <c r="I735" t="str">
        <f t="shared" si="35"/>
        <v>&lt;tr&gt; &lt;td&gt; &lt;a href=https://federallibrary.us/DOD/DODI/6420.01/CURRENT/TITLE.html&gt; DODI 6420.01&lt;/a&gt; &lt;/td&gt; &lt;td&gt; National Center for Medical Intelligence (NCMI) &lt;/td&gt; &lt;/tr&gt;</v>
      </c>
    </row>
    <row r="736" spans="1:9" x14ac:dyDescent="0.25">
      <c r="A736" t="s">
        <v>1098</v>
      </c>
      <c r="B736" t="s">
        <v>870</v>
      </c>
      <c r="C736" t="str">
        <f t="shared" si="33"/>
        <v>6430.02</v>
      </c>
      <c r="D736" t="s">
        <v>1157</v>
      </c>
      <c r="E736" s="2">
        <v>42970</v>
      </c>
      <c r="G736" t="s">
        <v>734</v>
      </c>
      <c r="H736" t="str">
        <f t="shared" si="34"/>
        <v>https://federallibrary.us/DOD/DODI/6430.02/CURRENT/TITLE.html</v>
      </c>
      <c r="I736" t="str">
        <f t="shared" si="35"/>
        <v>&lt;tr&gt; &lt;td&gt; &lt;a href=https://federallibrary.us/DOD/DODI/6430.02/CURRENT/TITLE.html&gt; DODI 6430.02&lt;/a&gt; &lt;/td&gt; &lt;td&gt; Defense Medical Logistics Program &lt;/td&gt; &lt;/tr&gt;</v>
      </c>
    </row>
    <row r="737" spans="1:9" x14ac:dyDescent="0.25">
      <c r="A737" t="s">
        <v>1099</v>
      </c>
      <c r="B737" t="s">
        <v>870</v>
      </c>
      <c r="C737" t="str">
        <f t="shared" si="33"/>
        <v>6440.02</v>
      </c>
      <c r="D737" t="s">
        <v>1157</v>
      </c>
      <c r="E737" s="2">
        <v>43958</v>
      </c>
      <c r="G737" t="s">
        <v>735</v>
      </c>
      <c r="H737" t="str">
        <f t="shared" si="34"/>
        <v>https://federallibrary.us/DOD/DODI/6440.02/CURRENT/TITLE.html</v>
      </c>
      <c r="I737" t="str">
        <f t="shared" si="35"/>
        <v>&lt;tr&gt; &lt;td&gt; &lt;a href=https://federallibrary.us/DOD/DODI/6440.02/CURRENT/TITLE.html&gt; DODI 6440.02&lt;/a&gt; &lt;/td&gt; &lt;td&gt; Clinical Laboratory Improvement Program (CLIP) &lt;/td&gt; &lt;/tr&gt;</v>
      </c>
    </row>
    <row r="738" spans="1:9" x14ac:dyDescent="0.25">
      <c r="A738" t="s">
        <v>1099</v>
      </c>
      <c r="B738" t="s">
        <v>867</v>
      </c>
      <c r="C738" t="str">
        <f t="shared" si="33"/>
        <v>6440.03</v>
      </c>
      <c r="D738" t="s">
        <v>1157</v>
      </c>
      <c r="E738" s="2">
        <v>43570</v>
      </c>
      <c r="G738" t="s">
        <v>736</v>
      </c>
      <c r="H738" t="str">
        <f t="shared" si="34"/>
        <v>https://federallibrary.us/DOD/DODI/6440.03/CURRENT/TITLE.html</v>
      </c>
      <c r="I738" t="str">
        <f t="shared" si="35"/>
        <v>&lt;tr&gt; &lt;td&gt; &lt;a href=https://federallibrary.us/DOD/DODI/6440.03/CURRENT/TITLE.html&gt; DODI 6440.03&lt;/a&gt; &lt;/td&gt; &lt;td&gt; DoD Laboratory Network (DLN) &lt;/td&gt; &lt;/tr&gt;</v>
      </c>
    </row>
    <row r="739" spans="1:9" x14ac:dyDescent="0.25">
      <c r="A739" t="s">
        <v>1100</v>
      </c>
      <c r="B739" t="s">
        <v>845</v>
      </c>
      <c r="C739" t="str">
        <f t="shared" si="33"/>
        <v>6465.01</v>
      </c>
      <c r="D739" t="s">
        <v>1157</v>
      </c>
      <c r="E739" s="2">
        <v>42202</v>
      </c>
      <c r="G739" t="s">
        <v>737</v>
      </c>
      <c r="H739" t="str">
        <f t="shared" si="34"/>
        <v>https://federallibrary.us/DOD/DODI/6465.01/CURRENT/TITLE.html</v>
      </c>
      <c r="I739" t="str">
        <f t="shared" si="35"/>
        <v>&lt;tr&gt; &lt;td&gt; &lt;a href=https://federallibrary.us/DOD/DODI/6465.01/CURRENT/TITLE.html&gt; DODI 6465.01&lt;/a&gt; &lt;/td&gt; &lt;td&gt; Erythrocyte Glucose-6-Phosphate Dehydrogenase Deficiency (G6PD) and Sickle Cell Trait Screening Programs &lt;/td&gt; &lt;/tr&gt;</v>
      </c>
    </row>
    <row r="740" spans="1:9" x14ac:dyDescent="0.25">
      <c r="A740" t="s">
        <v>1100</v>
      </c>
      <c r="B740" t="s">
        <v>867</v>
      </c>
      <c r="C740" t="str">
        <f t="shared" si="33"/>
        <v>6465.03</v>
      </c>
      <c r="D740" t="s">
        <v>1157</v>
      </c>
      <c r="E740" s="2">
        <v>42529</v>
      </c>
      <c r="G740" t="s">
        <v>738</v>
      </c>
      <c r="H740" t="str">
        <f t="shared" si="34"/>
        <v>https://federallibrary.us/DOD/DODI/6465.03/CURRENT/TITLE.html</v>
      </c>
      <c r="I740" t="str">
        <f t="shared" si="35"/>
        <v>&lt;tr&gt; &lt;td&gt; &lt;a href=https://federallibrary.us/DOD/DODI/6465.03/CURRENT/TITLE.html&gt; DODI 6465.03&lt;/a&gt; &lt;/td&gt; &lt;td&gt; Anatomic Gifts and Tissue Donation &lt;/td&gt; &lt;/tr&gt;</v>
      </c>
    </row>
    <row r="741" spans="1:9" x14ac:dyDescent="0.25">
      <c r="A741" t="s">
        <v>1101</v>
      </c>
      <c r="B741" t="s">
        <v>846</v>
      </c>
      <c r="C741" t="str">
        <f t="shared" si="33"/>
        <v>6480.04</v>
      </c>
      <c r="D741" t="s">
        <v>1157</v>
      </c>
      <c r="E741" s="2">
        <v>45106</v>
      </c>
      <c r="G741" t="s">
        <v>739</v>
      </c>
      <c r="H741" t="str">
        <f t="shared" si="34"/>
        <v>https://federallibrary.us/DOD/DODI/6480.04/CURRENT/TITLE.html</v>
      </c>
      <c r="I741" t="str">
        <f t="shared" si="35"/>
        <v>&lt;tr&gt; &lt;td&gt; &lt;a href=https://federallibrary.us/DOD/DODI/6480.04/CURRENT/TITLE.html&gt; DODI 6480.04&lt;/a&gt; &lt;/td&gt; &lt;td&gt; Armed Services Blood Program &lt;/td&gt; &lt;/tr&gt;</v>
      </c>
    </row>
    <row r="742" spans="1:9" x14ac:dyDescent="0.25">
      <c r="A742" t="s">
        <v>1102</v>
      </c>
      <c r="B742" t="s">
        <v>845</v>
      </c>
      <c r="C742" t="str">
        <f t="shared" si="33"/>
        <v>6485.01</v>
      </c>
      <c r="D742" t="s">
        <v>1157</v>
      </c>
      <c r="E742" s="2">
        <v>44718</v>
      </c>
      <c r="G742" t="s">
        <v>740</v>
      </c>
      <c r="H742" t="str">
        <f t="shared" si="34"/>
        <v>https://federallibrary.us/DOD/DODI/6485.01/CURRENT/TITLE.html</v>
      </c>
      <c r="I742" t="str">
        <f t="shared" si="35"/>
        <v>&lt;tr&gt; &lt;td&gt; &lt;a href=https://federallibrary.us/DOD/DODI/6485.01/CURRENT/TITLE.html&gt; DODI 6485.01&lt;/a&gt; &lt;/td&gt; &lt;td&gt; Human Immunodeficiency Virus (HIV) in Military Service Members &lt;/td&gt; &lt;/tr&gt;</v>
      </c>
    </row>
    <row r="743" spans="1:9" x14ac:dyDescent="0.25">
      <c r="A743" t="s">
        <v>1103</v>
      </c>
      <c r="B743" t="s">
        <v>867</v>
      </c>
      <c r="C743" t="str">
        <f t="shared" si="33"/>
        <v>6490.03</v>
      </c>
      <c r="D743" t="s">
        <v>1157</v>
      </c>
      <c r="E743" s="2">
        <v>43635</v>
      </c>
      <c r="G743" t="s">
        <v>741</v>
      </c>
      <c r="H743" t="str">
        <f t="shared" si="34"/>
        <v>https://federallibrary.us/DOD/DODI/6490.03/CURRENT/TITLE.html</v>
      </c>
      <c r="I743" t="str">
        <f t="shared" si="35"/>
        <v>&lt;tr&gt; &lt;td&gt; &lt;a href=https://federallibrary.us/DOD/DODI/6490.03/CURRENT/TITLE.html&gt; DODI 6490.03&lt;/a&gt; &lt;/td&gt; &lt;td&gt; Deployment Health &lt;/td&gt; &lt;/tr&gt;</v>
      </c>
    </row>
    <row r="744" spans="1:9" x14ac:dyDescent="0.25">
      <c r="A744" t="s">
        <v>1103</v>
      </c>
      <c r="B744" t="s">
        <v>846</v>
      </c>
      <c r="C744" t="str">
        <f t="shared" si="33"/>
        <v>6490.04</v>
      </c>
      <c r="D744" t="s">
        <v>1157</v>
      </c>
      <c r="E744" s="2">
        <v>43943</v>
      </c>
      <c r="G744" t="s">
        <v>742</v>
      </c>
      <c r="H744" t="str">
        <f t="shared" si="34"/>
        <v>https://federallibrary.us/DOD/DODI/6490.04/CURRENT/TITLE.html</v>
      </c>
      <c r="I744" t="str">
        <f t="shared" si="35"/>
        <v>&lt;tr&gt; &lt;td&gt; &lt;a href=https://federallibrary.us/DOD/DODI/6490.04/CURRENT/TITLE.html&gt; DODI 6490.04&lt;/a&gt; &lt;/td&gt; &lt;td&gt; Mental Health Evaluations of Members of the Military Services &lt;/td&gt; &lt;/tr&gt;</v>
      </c>
    </row>
    <row r="745" spans="1:9" x14ac:dyDescent="0.25">
      <c r="A745" t="s">
        <v>1103</v>
      </c>
      <c r="B745" t="s">
        <v>868</v>
      </c>
      <c r="C745" t="str">
        <f t="shared" si="33"/>
        <v>6490.05</v>
      </c>
      <c r="D745" t="s">
        <v>1157</v>
      </c>
      <c r="E745" s="2">
        <v>43980</v>
      </c>
      <c r="G745" t="s">
        <v>743</v>
      </c>
      <c r="H745" t="str">
        <f t="shared" si="34"/>
        <v>https://federallibrary.us/DOD/DODI/6490.05/CURRENT/TITLE.html</v>
      </c>
      <c r="I745" t="str">
        <f t="shared" si="35"/>
        <v>&lt;tr&gt; &lt;td&gt; &lt;a href=https://federallibrary.us/DOD/DODI/6490.05/CURRENT/TITLE.html&gt; DODI 6490.05&lt;/a&gt; &lt;/td&gt; &lt;td&gt; Maintenance of Psychological Health in Military Operations &lt;/td&gt; &lt;/tr&gt;</v>
      </c>
    </row>
    <row r="746" spans="1:9" x14ac:dyDescent="0.25">
      <c r="A746" t="s">
        <v>1103</v>
      </c>
      <c r="B746" t="s">
        <v>858</v>
      </c>
      <c r="C746" t="str">
        <f t="shared" si="33"/>
        <v>6490.06</v>
      </c>
      <c r="D746" t="s">
        <v>1157</v>
      </c>
      <c r="E746" s="2">
        <v>42825</v>
      </c>
      <c r="G746" t="s">
        <v>744</v>
      </c>
      <c r="H746" t="str">
        <f t="shared" si="34"/>
        <v>https://federallibrary.us/DOD/DODI/6490.06/CURRENT/TITLE.html</v>
      </c>
      <c r="I746" t="str">
        <f t="shared" si="35"/>
        <v>&lt;tr&gt; &lt;td&gt; &lt;a href=https://federallibrary.us/DOD/DODI/6490.06/CURRENT/TITLE.html&gt; DODI 6490.06&lt;/a&gt; &lt;/td&gt; &lt;td&gt; Counseling Services for DoD Military, Guard and Reserve, Certain Affiliated Personnel, and Their Family Members &lt;/td&gt; &lt;/tr&gt;</v>
      </c>
    </row>
    <row r="747" spans="1:9" x14ac:dyDescent="0.25">
      <c r="A747" t="s">
        <v>1103</v>
      </c>
      <c r="B747" t="s">
        <v>871</v>
      </c>
      <c r="C747" t="str">
        <f t="shared" si="33"/>
        <v>6490.07</v>
      </c>
      <c r="D747" t="s">
        <v>1157</v>
      </c>
      <c r="E747" s="2">
        <v>40214</v>
      </c>
      <c r="G747" t="s">
        <v>745</v>
      </c>
      <c r="H747" t="str">
        <f t="shared" si="34"/>
        <v>https://federallibrary.us/DOD/DODI/6490.07/CURRENT/TITLE.html</v>
      </c>
      <c r="I747" t="str">
        <f t="shared" si="35"/>
        <v>&lt;tr&gt; &lt;td&gt; &lt;a href=https://federallibrary.us/DOD/DODI/6490.07/CURRENT/TITLE.html&gt; DODI 6490.07&lt;/a&gt; &lt;/td&gt; &lt;td&gt; Deployment-Limiting Medical Conditions for Service Members and DoD Civilian Employees &lt;/td&gt; &lt;/tr&gt;</v>
      </c>
    </row>
    <row r="748" spans="1:9" x14ac:dyDescent="0.25">
      <c r="A748" t="s">
        <v>1103</v>
      </c>
      <c r="B748" t="s">
        <v>865</v>
      </c>
      <c r="C748" t="str">
        <f t="shared" si="33"/>
        <v>6490.08</v>
      </c>
      <c r="D748" t="s">
        <v>1157</v>
      </c>
      <c r="E748" s="2">
        <v>45175</v>
      </c>
      <c r="G748" t="s">
        <v>746</v>
      </c>
      <c r="H748" t="str">
        <f t="shared" si="34"/>
        <v>https://federallibrary.us/DOD/DODI/6490.08/CURRENT/TITLE.html</v>
      </c>
      <c r="I748" t="str">
        <f t="shared" si="35"/>
        <v>&lt;tr&gt; &lt;td&gt; &lt;a href=https://federallibrary.us/DOD/DODI/6490.08/CURRENT/TITLE.html&gt; DODI 6490.08&lt;/a&gt; &lt;/td&gt; &lt;td&gt; Command Notification Requirements to Dispel Stigma in Providing Mental Health Care to Service Members &lt;/td&gt; &lt;/tr&gt;</v>
      </c>
    </row>
    <row r="749" spans="1:9" x14ac:dyDescent="0.25">
      <c r="A749" t="s">
        <v>1103</v>
      </c>
      <c r="B749" t="s">
        <v>862</v>
      </c>
      <c r="C749" t="str">
        <f t="shared" si="33"/>
        <v>6490.09</v>
      </c>
      <c r="D749" t="s">
        <v>1157</v>
      </c>
      <c r="E749" s="2">
        <v>42850</v>
      </c>
      <c r="G749" t="s">
        <v>747</v>
      </c>
      <c r="H749" t="str">
        <f t="shared" si="34"/>
        <v>https://federallibrary.us/DOD/DODI/6490.09/CURRENT/TITLE.html</v>
      </c>
      <c r="I749" t="str">
        <f t="shared" si="35"/>
        <v>&lt;tr&gt; &lt;td&gt; &lt;a href=https://federallibrary.us/DOD/DODI/6490.09/CURRENT/TITLE.html&gt; DODI 6490.09&lt;/a&gt; &lt;/td&gt; &lt;td&gt; DoD Directors of Psychological Health &lt;/td&gt; &lt;/tr&gt;</v>
      </c>
    </row>
    <row r="750" spans="1:9" x14ac:dyDescent="0.25">
      <c r="A750" t="s">
        <v>1103</v>
      </c>
      <c r="B750" t="s">
        <v>863</v>
      </c>
      <c r="C750" t="str">
        <f t="shared" si="33"/>
        <v>6490.10</v>
      </c>
      <c r="D750" t="s">
        <v>1157</v>
      </c>
      <c r="E750" s="2">
        <v>42305</v>
      </c>
      <c r="G750" t="s">
        <v>748</v>
      </c>
      <c r="H750" t="str">
        <f t="shared" si="34"/>
        <v>https://federallibrary.us/DOD/DODI/6490.10/CURRENT/TITLE.html</v>
      </c>
      <c r="I750" t="str">
        <f t="shared" si="35"/>
        <v>&lt;tr&gt; &lt;td&gt; &lt;a href=https://federallibrary.us/DOD/DODI/6490.10/CURRENT/TITLE.html&gt; DODI 6490.10&lt;/a&gt; &lt;/td&gt; &lt;td&gt; Continuity of Behavioral Health Care for Transferring and Transitioning Service Members &lt;/td&gt; &lt;/tr&gt;</v>
      </c>
    </row>
    <row r="751" spans="1:9" x14ac:dyDescent="0.25">
      <c r="A751" t="s">
        <v>1103</v>
      </c>
      <c r="B751" t="s">
        <v>847</v>
      </c>
      <c r="C751" t="str">
        <f t="shared" si="33"/>
        <v>6490.11</v>
      </c>
      <c r="D751" t="s">
        <v>1157</v>
      </c>
      <c r="E751" s="2">
        <v>44470</v>
      </c>
      <c r="G751" t="s">
        <v>749</v>
      </c>
      <c r="H751" t="str">
        <f t="shared" si="34"/>
        <v>https://federallibrary.us/DOD/DODI/6490.11/CURRENT/TITLE.html</v>
      </c>
      <c r="I751" t="str">
        <f t="shared" si="35"/>
        <v>&lt;tr&gt; &lt;td&gt; &lt;a href=https://federallibrary.us/DOD/DODI/6490.11/CURRENT/TITLE.html&gt; DODI 6490.11&lt;/a&gt; &lt;/td&gt; &lt;td&gt; DoD Policy Guidance for Management of Mild Traumatic Brain Injury/Concussion in the Deployed Setting &lt;/td&gt; &lt;/tr&gt;</v>
      </c>
    </row>
    <row r="752" spans="1:9" x14ac:dyDescent="0.25">
      <c r="A752" t="s">
        <v>1103</v>
      </c>
      <c r="B752" t="s">
        <v>848</v>
      </c>
      <c r="C752" t="str">
        <f t="shared" si="33"/>
        <v>6490.13</v>
      </c>
      <c r="D752" t="s">
        <v>1157</v>
      </c>
      <c r="E752" s="2">
        <v>42825</v>
      </c>
      <c r="G752" t="s">
        <v>750</v>
      </c>
      <c r="H752" t="str">
        <f t="shared" si="34"/>
        <v>https://federallibrary.us/DOD/DODI/6490.13/CURRENT/TITLE.html</v>
      </c>
      <c r="I752" t="str">
        <f t="shared" si="35"/>
        <v>&lt;tr&gt; &lt;td&gt; &lt;a href=https://federallibrary.us/DOD/DODI/6490.13/CURRENT/TITLE.html&gt; DODI 6490.13&lt;/a&gt; &lt;/td&gt; &lt;td&gt; Comprehensive Policy on Traumatic Brain Injury-Related Neurocognitive Assessments by the Military Services &lt;/td&gt; &lt;/tr&gt;</v>
      </c>
    </row>
    <row r="753" spans="1:9" x14ac:dyDescent="0.25">
      <c r="A753" t="s">
        <v>1103</v>
      </c>
      <c r="B753" t="s">
        <v>849</v>
      </c>
      <c r="C753" t="str">
        <f t="shared" si="33"/>
        <v>6490.15</v>
      </c>
      <c r="D753" t="s">
        <v>1157</v>
      </c>
      <c r="E753" s="2">
        <v>41963</v>
      </c>
      <c r="G753" t="s">
        <v>751</v>
      </c>
      <c r="H753" t="str">
        <f t="shared" si="34"/>
        <v>https://federallibrary.us/DOD/DODI/6490.15/CURRENT/TITLE.html</v>
      </c>
      <c r="I753" t="str">
        <f t="shared" si="35"/>
        <v>&lt;tr&gt; &lt;td&gt; &lt;a href=https://federallibrary.us/DOD/DODI/6490.15/CURRENT/TITLE.html&gt; DODI 6490.15&lt;/a&gt; &lt;/td&gt; &lt;td&gt; Integration of Behavioral Health Personnel (BHP) Services Into Patient-Centered Medical Home (PCMH) Primary Care and Other Primary Care Service Settings &lt;/td&gt; &lt;/tr&gt;</v>
      </c>
    </row>
    <row r="754" spans="1:9" x14ac:dyDescent="0.25">
      <c r="A754" t="s">
        <v>1103</v>
      </c>
      <c r="B754" t="s">
        <v>860</v>
      </c>
      <c r="C754" t="str">
        <f t="shared" si="33"/>
        <v>6490.16</v>
      </c>
      <c r="D754" t="s">
        <v>1157</v>
      </c>
      <c r="E754" s="2">
        <v>44959</v>
      </c>
      <c r="G754" t="s">
        <v>752</v>
      </c>
      <c r="H754" t="str">
        <f t="shared" si="34"/>
        <v>https://federallibrary.us/DOD/DODI/6490.16/CURRENT/TITLE.html</v>
      </c>
      <c r="I754" t="str">
        <f t="shared" si="35"/>
        <v>&lt;tr&gt; &lt;td&gt; &lt;a href=https://federallibrary.us/DOD/DODI/6490.16/CURRENT/TITLE.html&gt; DODI 6490.16&lt;/a&gt; &lt;/td&gt; &lt;td&gt; Defense Suicide Prevention Program &lt;/td&gt; &lt;/tr&gt;</v>
      </c>
    </row>
    <row r="755" spans="1:9" x14ac:dyDescent="0.25">
      <c r="A755" t="s">
        <v>1104</v>
      </c>
      <c r="B755" t="s">
        <v>838</v>
      </c>
      <c r="C755" t="str">
        <f t="shared" si="33"/>
        <v>6495.02VOL1</v>
      </c>
      <c r="D755" t="s">
        <v>1157</v>
      </c>
      <c r="E755" s="2">
        <v>44810</v>
      </c>
      <c r="G755" t="s">
        <v>753</v>
      </c>
      <c r="H755" t="str">
        <f t="shared" si="34"/>
        <v>https://federallibrary.us/DOD/DODI/6495.02VOL1/CURRENT/TITLE.html</v>
      </c>
      <c r="I755" t="str">
        <f t="shared" si="35"/>
        <v>&lt;tr&gt; &lt;td&gt; &lt;a href=https://federallibrary.us/DOD/DODI/6495.02VOL1/CURRENT/TITLE.html&gt; DODI 6495.02VOL1&lt;/a&gt; &lt;/td&gt; &lt;td&gt; Sexual Assault Prevention and Response: Program Procedures &lt;/td&gt; &lt;/tr&gt;</v>
      </c>
    </row>
    <row r="756" spans="1:9" x14ac:dyDescent="0.25">
      <c r="A756" t="s">
        <v>1104</v>
      </c>
      <c r="B756" t="s">
        <v>839</v>
      </c>
      <c r="C756" t="str">
        <f t="shared" si="33"/>
        <v>6495.02VOL2</v>
      </c>
      <c r="D756" t="s">
        <v>1157</v>
      </c>
      <c r="E756" s="2">
        <v>44295</v>
      </c>
      <c r="G756" t="s">
        <v>754</v>
      </c>
      <c r="H756" t="str">
        <f t="shared" si="34"/>
        <v>https://federallibrary.us/DOD/DODI/6495.02VOL2/CURRENT/TITLE.html</v>
      </c>
      <c r="I756" t="str">
        <f t="shared" si="35"/>
        <v>&lt;tr&gt; &lt;td&gt; &lt;a href=https://federallibrary.us/DOD/DODI/6495.02VOL2/CURRENT/TITLE.html&gt; DODI 6495.02VOL2&lt;/a&gt; &lt;/td&gt; &lt;td&gt; Sexual Assault Prevention and Response: Education and Training &lt;/td&gt; &lt;/tr&gt;</v>
      </c>
    </row>
    <row r="757" spans="1:9" x14ac:dyDescent="0.25">
      <c r="A757" t="s">
        <v>1104</v>
      </c>
      <c r="B757" t="s">
        <v>840</v>
      </c>
      <c r="C757" t="str">
        <f t="shared" si="33"/>
        <v>6495.02VOL3</v>
      </c>
      <c r="D757" t="s">
        <v>1157</v>
      </c>
      <c r="E757" s="2">
        <v>44736</v>
      </c>
      <c r="G757" t="s">
        <v>755</v>
      </c>
      <c r="H757" t="str">
        <f t="shared" si="34"/>
        <v>https://federallibrary.us/DOD/DODI/6495.02VOL3/CURRENT/TITLE.html</v>
      </c>
      <c r="I757" t="str">
        <f t="shared" si="35"/>
        <v>&lt;tr&gt; &lt;td&gt; &lt;a href=https://federallibrary.us/DOD/DODI/6495.02VOL3/CURRENT/TITLE.html&gt; DODI 6495.02VOL3&lt;/a&gt; &lt;/td&gt; &lt;td&gt; Sexual Assault Prevention and Response: Retaliation Response for Adult Sexual Assault Cases &lt;/td&gt; &lt;/tr&gt;</v>
      </c>
    </row>
    <row r="758" spans="1:9" x14ac:dyDescent="0.25">
      <c r="A758" t="s">
        <v>1104</v>
      </c>
      <c r="B758" t="s">
        <v>867</v>
      </c>
      <c r="C758" t="str">
        <f t="shared" si="33"/>
        <v>6495.03</v>
      </c>
      <c r="D758" t="s">
        <v>1157</v>
      </c>
      <c r="E758" s="2">
        <v>43889</v>
      </c>
      <c r="G758" t="s">
        <v>756</v>
      </c>
      <c r="H758" t="str">
        <f t="shared" si="34"/>
        <v>https://federallibrary.us/DOD/DODI/6495.03/CURRENT/TITLE.html</v>
      </c>
      <c r="I758" t="str">
        <f t="shared" si="35"/>
        <v>&lt;tr&gt; &lt;td&gt; &lt;a href=https://federallibrary.us/DOD/DODI/6495.03/CURRENT/TITLE.html&gt; DODI 6495.03&lt;/a&gt; &lt;/td&gt; &lt;td&gt; Defense Sexual Assault Advocate Certification Program (D-SAACP) &lt;/td&gt; &lt;/tr&gt;</v>
      </c>
    </row>
    <row r="759" spans="1:9" x14ac:dyDescent="0.25">
      <c r="A759" t="s">
        <v>1105</v>
      </c>
      <c r="B759" t="s">
        <v>859</v>
      </c>
      <c r="C759" t="str">
        <f t="shared" si="33"/>
        <v>7000.14</v>
      </c>
      <c r="D759" t="s">
        <v>1157</v>
      </c>
      <c r="E759" s="2">
        <v>44053</v>
      </c>
      <c r="G759" t="s">
        <v>757</v>
      </c>
      <c r="H759" t="str">
        <f t="shared" si="34"/>
        <v>https://federallibrary.us/DOD/DODI/7000.14/CURRENT/TITLE.html</v>
      </c>
      <c r="I759" t="str">
        <f t="shared" si="35"/>
        <v>&lt;tr&gt; &lt;td&gt; &lt;a href=https://federallibrary.us/DOD/DODI/7000.14/CURRENT/TITLE.html&gt; DODI 7000.14&lt;/a&gt; &lt;/td&gt; &lt;td&gt; Department of Defense Financial Management Policy &lt;/td&gt; &lt;/tr&gt;</v>
      </c>
    </row>
    <row r="760" spans="1:9" x14ac:dyDescent="0.25">
      <c r="A760" t="s">
        <v>1106</v>
      </c>
      <c r="B760" t="s">
        <v>867</v>
      </c>
      <c r="C760" t="str">
        <f t="shared" si="33"/>
        <v>7041.03</v>
      </c>
      <c r="D760" t="s">
        <v>1157</v>
      </c>
      <c r="E760" s="2">
        <v>43010</v>
      </c>
      <c r="G760" t="s">
        <v>758</v>
      </c>
      <c r="H760" t="str">
        <f t="shared" si="34"/>
        <v>https://federallibrary.us/DOD/DODI/7041.03/CURRENT/TITLE.html</v>
      </c>
      <c r="I760" t="str">
        <f t="shared" si="35"/>
        <v>&lt;tr&gt; &lt;td&gt; &lt;a href=https://federallibrary.us/DOD/DODI/7041.03/CURRENT/TITLE.html&gt; DODI 7041.03&lt;/a&gt; &lt;/td&gt; &lt;td&gt; Economic Analysis for Decision-making &lt;/td&gt; &lt;/tr&gt;</v>
      </c>
    </row>
    <row r="761" spans="1:9" x14ac:dyDescent="0.25">
      <c r="A761" t="s">
        <v>1106</v>
      </c>
      <c r="B761" t="s">
        <v>846</v>
      </c>
      <c r="C761" t="str">
        <f t="shared" si="33"/>
        <v>7041.04</v>
      </c>
      <c r="D761" t="s">
        <v>1157</v>
      </c>
      <c r="E761" s="2">
        <v>44013</v>
      </c>
      <c r="G761" t="s">
        <v>759</v>
      </c>
      <c r="H761" t="str">
        <f t="shared" si="34"/>
        <v>https://federallibrary.us/DOD/DODI/7041.04/CURRENT/TITLE.html</v>
      </c>
      <c r="I761" t="str">
        <f t="shared" si="35"/>
        <v>&lt;tr&gt; &lt;td&gt; &lt;a href=https://federallibrary.us/DOD/DODI/7041.04/CURRENT/TITLE.html&gt; DODI 7041.04&lt;/a&gt; &lt;/td&gt; &lt;td&gt; Estimating and Comparing the Full Costs of Civilian and Active Duty Military Manpower and Contract Support &lt;/td&gt; &lt;/tr&gt;</v>
      </c>
    </row>
    <row r="762" spans="1:9" x14ac:dyDescent="0.25">
      <c r="A762" t="s">
        <v>1107</v>
      </c>
      <c r="B762" t="s">
        <v>845</v>
      </c>
      <c r="C762" t="str">
        <f t="shared" si="33"/>
        <v>7050.01</v>
      </c>
      <c r="D762" t="s">
        <v>1157</v>
      </c>
      <c r="E762" s="2">
        <v>43025</v>
      </c>
      <c r="G762" t="s">
        <v>760</v>
      </c>
      <c r="H762" t="str">
        <f t="shared" si="34"/>
        <v>https://federallibrary.us/DOD/DODI/7050.01/CURRENT/TITLE.html</v>
      </c>
      <c r="I762" t="str">
        <f t="shared" si="35"/>
        <v>&lt;tr&gt; &lt;td&gt; &lt;a href=https://federallibrary.us/DOD/DODI/7050.01/CURRENT/TITLE.html&gt; DODI 7050.01&lt;/a&gt; &lt;/td&gt; &lt;td&gt; DoD Hotline Program &lt;/td&gt; &lt;/tr&gt;</v>
      </c>
    </row>
    <row r="763" spans="1:9" x14ac:dyDescent="0.25">
      <c r="A763" t="s">
        <v>1107</v>
      </c>
      <c r="B763" t="s">
        <v>867</v>
      </c>
      <c r="C763" t="str">
        <f t="shared" si="33"/>
        <v>7050.03</v>
      </c>
      <c r="D763" t="s">
        <v>1157</v>
      </c>
      <c r="E763" s="2">
        <v>43945</v>
      </c>
      <c r="G763" t="s">
        <v>761</v>
      </c>
      <c r="H763" t="str">
        <f t="shared" si="34"/>
        <v>https://federallibrary.us/DOD/DODI/7050.03/CURRENT/TITLE.html</v>
      </c>
      <c r="I763" t="str">
        <f t="shared" si="35"/>
        <v>&lt;tr&gt; &lt;td&gt; &lt;a href=https://federallibrary.us/DOD/DODI/7050.03/CURRENT/TITLE.html&gt; DODI 7050.03&lt;/a&gt; &lt;/td&gt; &lt;td&gt; Office of the Inspector General of the Department of Defense Access to Records and Information &lt;/td&gt; &lt;/tr&gt;</v>
      </c>
    </row>
    <row r="764" spans="1:9" x14ac:dyDescent="0.25">
      <c r="A764" t="s">
        <v>1107</v>
      </c>
      <c r="B764" t="s">
        <v>868</v>
      </c>
      <c r="C764" t="str">
        <f t="shared" si="33"/>
        <v>7050.05</v>
      </c>
      <c r="D764" t="s">
        <v>1157</v>
      </c>
      <c r="E764" s="2">
        <v>44019</v>
      </c>
      <c r="G764" t="s">
        <v>762</v>
      </c>
      <c r="H764" t="str">
        <f t="shared" si="34"/>
        <v>https://federallibrary.us/DOD/DODI/7050.05/CURRENT/TITLE.html</v>
      </c>
      <c r="I764" t="str">
        <f t="shared" si="35"/>
        <v>&lt;tr&gt; &lt;td&gt; &lt;a href=https://federallibrary.us/DOD/DODI/7050.05/CURRENT/TITLE.html&gt; DODI 7050.05&lt;/a&gt; &lt;/td&gt; &lt;td&gt; Coordination of Remedies for Fraud and Corruption Related to Procurement Activities &lt;/td&gt; &lt;/tr&gt;</v>
      </c>
    </row>
    <row r="765" spans="1:9" x14ac:dyDescent="0.25">
      <c r="A765" t="s">
        <v>1107</v>
      </c>
      <c r="B765" t="s">
        <v>862</v>
      </c>
      <c r="C765" t="str">
        <f t="shared" si="33"/>
        <v>7050.09</v>
      </c>
      <c r="D765" t="s">
        <v>1157</v>
      </c>
      <c r="E765" s="2">
        <v>44481</v>
      </c>
      <c r="G765" t="s">
        <v>763</v>
      </c>
      <c r="H765" t="str">
        <f t="shared" si="34"/>
        <v>https://federallibrary.us/DOD/DODI/7050.09/CURRENT/TITLE.html</v>
      </c>
      <c r="I765" t="str">
        <f t="shared" si="35"/>
        <v>&lt;tr&gt; &lt;td&gt; &lt;a href=https://federallibrary.us/DOD/DODI/7050.09/CURRENT/TITLE.html&gt; DODI 7050.09&lt;/a&gt; &lt;/td&gt; &lt;td&gt; Uniform Standards for Evaluating and Investigating Military Reprisal or Restriction Complaints &lt;/td&gt; &lt;/tr&gt;</v>
      </c>
    </row>
    <row r="766" spans="1:9" x14ac:dyDescent="0.25">
      <c r="A766" t="s">
        <v>1108</v>
      </c>
      <c r="B766" t="s">
        <v>858</v>
      </c>
      <c r="C766" t="str">
        <f t="shared" si="33"/>
        <v>7060.06</v>
      </c>
      <c r="D766" t="s">
        <v>1157</v>
      </c>
      <c r="E766" s="2">
        <v>44106</v>
      </c>
      <c r="G766" t="s">
        <v>764</v>
      </c>
      <c r="H766" t="str">
        <f t="shared" si="34"/>
        <v>https://federallibrary.us/DOD/DODI/7060.06/CURRENT/TITLE.html</v>
      </c>
      <c r="I766" t="str">
        <f t="shared" si="35"/>
        <v>&lt;tr&gt; &lt;td&gt; &lt;a href=https://federallibrary.us/DOD/DODI/7060.06/CURRENT/TITLE.html&gt; DODI 7060.06&lt;/a&gt; &lt;/td&gt; &lt;td&gt; International Cooperative Administrative Support Services (ICASS) &lt;/td&gt; &lt;/tr&gt;</v>
      </c>
    </row>
    <row r="767" spans="1:9" x14ac:dyDescent="0.25">
      <c r="A767" t="s">
        <v>1109</v>
      </c>
      <c r="B767" t="s">
        <v>865</v>
      </c>
      <c r="C767" t="str">
        <f t="shared" si="33"/>
        <v>7230.08</v>
      </c>
      <c r="D767" t="s">
        <v>1157</v>
      </c>
      <c r="E767" s="2">
        <v>39815</v>
      </c>
      <c r="G767" t="s">
        <v>765</v>
      </c>
      <c r="H767" t="str">
        <f t="shared" si="34"/>
        <v>https://federallibrary.us/DOD/DODI/7230.08/CURRENT/TITLE.html</v>
      </c>
      <c r="I767" t="str">
        <f t="shared" si="35"/>
        <v>&lt;tr&gt; &lt;td&gt; &lt;a href=https://federallibrary.us/DOD/DODI/7230.08/CURRENT/TITLE.html&gt; DODI 7230.08&lt;/a&gt; &lt;/td&gt; &lt;td&gt; Leases and Demonstrations of DoD Equipment &lt;/td&gt; &lt;/tr&gt;</v>
      </c>
    </row>
    <row r="768" spans="1:9" x14ac:dyDescent="0.25">
      <c r="A768" t="s">
        <v>1110</v>
      </c>
      <c r="B768" t="s">
        <v>848</v>
      </c>
      <c r="C768" t="str">
        <f t="shared" si="33"/>
        <v>7250.13</v>
      </c>
      <c r="D768" t="s">
        <v>1157</v>
      </c>
      <c r="E768" s="2">
        <v>45068</v>
      </c>
      <c r="G768" t="s">
        <v>766</v>
      </c>
      <c r="H768" t="str">
        <f t="shared" si="34"/>
        <v>https://federallibrary.us/DOD/DODI/7250.13/CURRENT/TITLE.html</v>
      </c>
      <c r="I768" t="str">
        <f t="shared" si="35"/>
        <v>&lt;tr&gt; &lt;td&gt; &lt;a href=https://federallibrary.us/DOD/DODI/7250.13/CURRENT/TITLE.html&gt; DODI 7250.13&lt;/a&gt; &lt;/td&gt; &lt;td&gt; Use of Appropriated Funds for Official Representation Purposes &lt;/td&gt; &lt;/tr&gt;</v>
      </c>
    </row>
    <row r="769" spans="1:9" x14ac:dyDescent="0.25">
      <c r="A769" t="s">
        <v>1111</v>
      </c>
      <c r="B769" t="s">
        <v>870</v>
      </c>
      <c r="C769" t="str">
        <f t="shared" si="33"/>
        <v>7600.02</v>
      </c>
      <c r="D769" t="s">
        <v>1157</v>
      </c>
      <c r="E769" s="2">
        <v>45230</v>
      </c>
      <c r="G769" t="s">
        <v>767</v>
      </c>
      <c r="H769" t="str">
        <f t="shared" si="34"/>
        <v>https://federallibrary.us/DOD/DODI/7600.02/CURRENT/TITLE.html</v>
      </c>
      <c r="I769" t="str">
        <f t="shared" si="35"/>
        <v>&lt;tr&gt; &lt;td&gt; &lt;a href=https://federallibrary.us/DOD/DODI/7600.02/CURRENT/TITLE.html&gt; DODI 7600.02&lt;/a&gt; &lt;/td&gt; &lt;td&gt; Audit Policies &lt;/td&gt; &lt;/tr&gt;</v>
      </c>
    </row>
    <row r="770" spans="1:9" x14ac:dyDescent="0.25">
      <c r="A770" t="s">
        <v>1111</v>
      </c>
      <c r="B770" t="s">
        <v>858</v>
      </c>
      <c r="C770" t="str">
        <f t="shared" si="33"/>
        <v>7600.06</v>
      </c>
      <c r="D770" t="s">
        <v>1157</v>
      </c>
      <c r="E770" s="2">
        <v>44537</v>
      </c>
      <c r="G770" t="s">
        <v>768</v>
      </c>
      <c r="H770" t="str">
        <f t="shared" si="34"/>
        <v>https://federallibrary.us/DOD/DODI/7600.06/CURRENT/TITLE.html</v>
      </c>
      <c r="I770" t="str">
        <f t="shared" si="35"/>
        <v>&lt;tr&gt; &lt;td&gt; &lt;a href=https://federallibrary.us/DOD/DODI/7600.06/CURRENT/TITLE.html&gt; DODI 7600.06&lt;/a&gt; &lt;/td&gt; &lt;td&gt; Audit of Nonappropriated Fund Instrumentalities and Related Activities &lt;/td&gt; &lt;/tr&gt;</v>
      </c>
    </row>
    <row r="771" spans="1:9" x14ac:dyDescent="0.25">
      <c r="A771" t="s">
        <v>1111</v>
      </c>
      <c r="B771" t="s">
        <v>863</v>
      </c>
      <c r="C771" t="str">
        <f t="shared" ref="C771:C827" si="36">_xlfn.CONCAT(A771,".",B771)</f>
        <v>7600.10</v>
      </c>
      <c r="D771" t="s">
        <v>1157</v>
      </c>
      <c r="E771" s="2">
        <v>42451</v>
      </c>
      <c r="G771" t="s">
        <v>769</v>
      </c>
      <c r="H771" t="str">
        <f t="shared" ref="H771:H828" si="37">IF(D771="CURRENT",_xlfn.CONCAT("https://federallibrary.us/DOD/DODI/",C771,"/CURRENT/TITLE.html"),"")</f>
        <v>https://federallibrary.us/DOD/DODI/7600.10/CURRENT/TITLE.html</v>
      </c>
      <c r="I771" t="str">
        <f t="shared" ref="I771:I828" si="38">IF(D771="CURRENT",_xlfn.CONCAT("&lt;tr&gt; &lt;td&gt; &lt;a href=",H771,"&gt; DODI ",C771, "&lt;/a&gt; &lt;/td&gt; &lt;td&gt; ", G771, " &lt;/td&gt; &lt;/tr&gt;"),"")</f>
        <v>&lt;tr&gt; &lt;td&gt; &lt;a href=https://federallibrary.us/DOD/DODI/7600.10/CURRENT/TITLE.html&gt; DODI 7600.10&lt;/a&gt; &lt;/td&gt; &lt;td&gt; Follow-Up and Oversight on Single Audits &lt;/td&gt; &lt;/tr&gt;</v>
      </c>
    </row>
    <row r="772" spans="1:9" x14ac:dyDescent="0.25">
      <c r="A772" t="s">
        <v>1112</v>
      </c>
      <c r="B772" t="s">
        <v>870</v>
      </c>
      <c r="C772" t="str">
        <f t="shared" si="36"/>
        <v>7640.02</v>
      </c>
      <c r="D772" t="s">
        <v>1157</v>
      </c>
      <c r="E772" s="2">
        <v>42109</v>
      </c>
      <c r="G772" t="s">
        <v>770</v>
      </c>
      <c r="H772" t="str">
        <f t="shared" si="37"/>
        <v>https://federallibrary.us/DOD/DODI/7640.02/CURRENT/TITLE.html</v>
      </c>
      <c r="I772" t="str">
        <f t="shared" si="38"/>
        <v>&lt;tr&gt; &lt;td&gt; &lt;a href=https://federallibrary.us/DOD/DODI/7640.02/CURRENT/TITLE.html&gt; DODI 7640.02&lt;/a&gt; &lt;/td&gt; &lt;td&gt; Policy for Follow-Up on Contract Audit Reports &lt;/td&gt; &lt;/tr&gt;</v>
      </c>
    </row>
    <row r="773" spans="1:9" x14ac:dyDescent="0.25">
      <c r="A773" t="s">
        <v>1113</v>
      </c>
      <c r="B773" t="s">
        <v>845</v>
      </c>
      <c r="C773" t="str">
        <f t="shared" si="36"/>
        <v>7650.01</v>
      </c>
      <c r="D773" t="s">
        <v>1157</v>
      </c>
      <c r="E773" s="2">
        <v>43235</v>
      </c>
      <c r="G773" t="s">
        <v>771</v>
      </c>
      <c r="H773" t="str">
        <f t="shared" si="37"/>
        <v>https://federallibrary.us/DOD/DODI/7650.01/CURRENT/TITLE.html</v>
      </c>
      <c r="I773" t="str">
        <f t="shared" si="38"/>
        <v>&lt;tr&gt; &lt;td&gt; &lt;a href=https://federallibrary.us/DOD/DODI/7650.01/CURRENT/TITLE.html&gt; DODI 7650.01&lt;/a&gt; &lt;/td&gt; &lt;td&gt; Government Accountability Office (GAO) and Comptroller General Requests for Access to Records &lt;/td&gt; &lt;/tr&gt;</v>
      </c>
    </row>
    <row r="774" spans="1:9" x14ac:dyDescent="0.25">
      <c r="A774" t="s">
        <v>1113</v>
      </c>
      <c r="B774" t="s">
        <v>870</v>
      </c>
      <c r="C774" t="str">
        <f t="shared" si="36"/>
        <v>7650.02</v>
      </c>
      <c r="D774" t="s">
        <v>1157</v>
      </c>
      <c r="E774" s="2">
        <v>44587</v>
      </c>
      <c r="G774" t="s">
        <v>772</v>
      </c>
      <c r="H774" t="str">
        <f t="shared" si="37"/>
        <v>https://federallibrary.us/DOD/DODI/7650.02/CURRENT/TITLE.html</v>
      </c>
      <c r="I774" t="str">
        <f t="shared" si="38"/>
        <v>&lt;tr&gt; &lt;td&gt; &lt;a href=https://federallibrary.us/DOD/DODI/7650.02/CURRENT/TITLE.html&gt; DODI 7650.02&lt;/a&gt; &lt;/td&gt; &lt;td&gt; Engaging with the Government Accountability Office (GAO) on GAO Audits &lt;/td&gt; &lt;/tr&gt;</v>
      </c>
    </row>
    <row r="775" spans="1:9" x14ac:dyDescent="0.25">
      <c r="A775" t="s">
        <v>1113</v>
      </c>
      <c r="B775" t="s">
        <v>867</v>
      </c>
      <c r="C775" t="str">
        <f t="shared" si="36"/>
        <v>7650.03</v>
      </c>
      <c r="D775" t="s">
        <v>1157</v>
      </c>
      <c r="E775" s="2">
        <v>43496</v>
      </c>
      <c r="G775" t="s">
        <v>773</v>
      </c>
      <c r="H775" t="str">
        <f t="shared" si="37"/>
        <v>https://federallibrary.us/DOD/DODI/7650.03/CURRENT/TITLE.html</v>
      </c>
      <c r="I775" t="str">
        <f t="shared" si="38"/>
        <v>&lt;tr&gt; &lt;td&gt; &lt;a href=https://federallibrary.us/DOD/DODI/7650.03/CURRENT/TITLE.html&gt; DODI 7650.03&lt;/a&gt; &lt;/td&gt; &lt;td&gt; Follow-up on Inspector General of the Department of Defense (IG DoD) and Internal Audit Reports &lt;/td&gt; &lt;/tr&gt;</v>
      </c>
    </row>
    <row r="776" spans="1:9" x14ac:dyDescent="0.25">
      <c r="A776" t="s">
        <v>1114</v>
      </c>
      <c r="B776" t="s">
        <v>884</v>
      </c>
      <c r="C776" t="str">
        <f t="shared" si="36"/>
        <v>7700.18</v>
      </c>
      <c r="D776" t="s">
        <v>1157</v>
      </c>
      <c r="E776" s="2">
        <v>38336</v>
      </c>
      <c r="G776" t="s">
        <v>774</v>
      </c>
      <c r="H776" t="str">
        <f t="shared" si="37"/>
        <v>https://federallibrary.us/DOD/DODI/7700.18/CURRENT/TITLE.html</v>
      </c>
      <c r="I776" t="str">
        <f t="shared" si="38"/>
        <v>&lt;tr&gt; &lt;td&gt; &lt;a href=https://federallibrary.us/DOD/DODI/7700.18/CURRENT/TITLE.html&gt; DODI 7700.18&lt;/a&gt; &lt;/td&gt; &lt;td&gt; Commissary Surcharge, Nonappropriated Fund (NAF), and Privately Financed Construction Reporting Procedures &lt;/td&gt; &lt;/tr&gt;</v>
      </c>
    </row>
    <row r="777" spans="1:9" x14ac:dyDescent="0.25">
      <c r="A777" t="s">
        <v>1114</v>
      </c>
      <c r="B777" t="s">
        <v>905</v>
      </c>
      <c r="C777" t="str">
        <f t="shared" si="36"/>
        <v>7700.20</v>
      </c>
      <c r="D777" t="s">
        <v>1157</v>
      </c>
      <c r="E777" s="2">
        <v>38666</v>
      </c>
      <c r="G777" t="s">
        <v>775</v>
      </c>
      <c r="H777" t="str">
        <f t="shared" si="37"/>
        <v>https://federallibrary.us/DOD/DODI/7700.20/CURRENT/TITLE.html</v>
      </c>
      <c r="I777" t="str">
        <f t="shared" si="38"/>
        <v>&lt;tr&gt; &lt;td&gt; &lt;a href=https://federallibrary.us/DOD/DODI/7700.20/CURRENT/TITLE.html&gt; DODI 7700.20&lt;/a&gt; &lt;/td&gt; &lt;td&gt; Commissary Surcharge, Nonappropriated Fund (NAF), and Privately Financed Construction Policy &lt;/td&gt; &lt;/tr&gt;</v>
      </c>
    </row>
    <row r="778" spans="1:9" x14ac:dyDescent="0.25">
      <c r="A778" t="s">
        <v>1115</v>
      </c>
      <c r="B778" t="s">
        <v>884</v>
      </c>
      <c r="C778" t="str">
        <f t="shared" si="36"/>
        <v>7730.18</v>
      </c>
      <c r="D778" t="s">
        <v>1157</v>
      </c>
      <c r="E778" s="2">
        <v>43952</v>
      </c>
      <c r="G778" t="s">
        <v>776</v>
      </c>
      <c r="H778" t="str">
        <f t="shared" si="37"/>
        <v>https://federallibrary.us/DOD/DODI/7730.18/CURRENT/TITLE.html</v>
      </c>
      <c r="I778" t="str">
        <f t="shared" si="38"/>
        <v>&lt;tr&gt; &lt;td&gt; &lt;a href=https://federallibrary.us/DOD/DODI/7730.18/CURRENT/TITLE.html&gt; DODI 7730.18&lt;/a&gt; &lt;/td&gt; &lt;td&gt; Recurring Reports of Civilian Employment and Payrolls &lt;/td&gt; &lt;/tr&gt;</v>
      </c>
    </row>
    <row r="779" spans="1:9" x14ac:dyDescent="0.25">
      <c r="A779" t="s">
        <v>1115</v>
      </c>
      <c r="B779" t="s">
        <v>951</v>
      </c>
      <c r="C779" t="str">
        <f t="shared" si="36"/>
        <v>7730.47</v>
      </c>
      <c r="D779" t="s">
        <v>1157</v>
      </c>
      <c r="E779" s="2">
        <v>44021</v>
      </c>
      <c r="G779" t="s">
        <v>777</v>
      </c>
      <c r="H779" t="str">
        <f t="shared" si="37"/>
        <v>https://federallibrary.us/DOD/DODI/7730.47/CURRENT/TITLE.html</v>
      </c>
      <c r="I779" t="str">
        <f t="shared" si="38"/>
        <v>&lt;tr&gt; &lt;td&gt; &lt;a href=https://federallibrary.us/DOD/DODI/7730.47/CURRENT/TITLE.html&gt; DODI 7730.47&lt;/a&gt; &lt;/td&gt; &lt;td&gt; Defense Incident-Based Reporting System (DIBRS) &lt;/td&gt; &lt;/tr&gt;</v>
      </c>
    </row>
    <row r="780" spans="1:9" x14ac:dyDescent="0.25">
      <c r="A780" t="s">
        <v>1115</v>
      </c>
      <c r="B780" t="s">
        <v>1018</v>
      </c>
      <c r="C780" t="str">
        <f t="shared" si="36"/>
        <v>7730.64</v>
      </c>
      <c r="D780" t="s">
        <v>1157</v>
      </c>
      <c r="E780" s="2">
        <v>38332</v>
      </c>
      <c r="G780" t="s">
        <v>778</v>
      </c>
      <c r="H780" t="str">
        <f t="shared" si="37"/>
        <v>https://federallibrary.us/DOD/DODI/7730.64/CURRENT/TITLE.html</v>
      </c>
      <c r="I780" t="str">
        <f t="shared" si="38"/>
        <v>&lt;tr&gt; &lt;td&gt; &lt;a href=https://federallibrary.us/DOD/DODI/7730.64/CURRENT/TITLE.html&gt; DODI 7730.64&lt;/a&gt; &lt;/td&gt; &lt;td&gt; Automated Extracts of Manpower and Unit Organizational Element Files &lt;/td&gt; &lt;/tr&gt;</v>
      </c>
    </row>
    <row r="781" spans="1:9" x14ac:dyDescent="0.25">
      <c r="A781" t="s">
        <v>1115</v>
      </c>
      <c r="B781" t="s">
        <v>987</v>
      </c>
      <c r="C781" t="str">
        <f t="shared" si="36"/>
        <v>7730.66</v>
      </c>
      <c r="D781" t="s">
        <v>1157</v>
      </c>
      <c r="E781" s="2">
        <v>40732</v>
      </c>
      <c r="G781" t="s">
        <v>779</v>
      </c>
      <c r="H781" t="str">
        <f t="shared" si="37"/>
        <v>https://federallibrary.us/DOD/DODI/7730.66/CURRENT/TITLE.html</v>
      </c>
      <c r="I781" t="str">
        <f t="shared" si="38"/>
        <v>&lt;tr&gt; &lt;td&gt; &lt;a href=https://federallibrary.us/DOD/DODI/7730.66/CURRENT/TITLE.html&gt; DODI 7730.66&lt;/a&gt; &lt;/td&gt; &lt;td&gt; Guidance for the Defense Readiness Reporting System (DRRS) &lt;/td&gt; &lt;/tr&gt;</v>
      </c>
    </row>
    <row r="782" spans="1:9" x14ac:dyDescent="0.25">
      <c r="A782" t="s">
        <v>1115</v>
      </c>
      <c r="B782" t="s">
        <v>979</v>
      </c>
      <c r="C782" t="str">
        <f t="shared" si="36"/>
        <v>7730.67</v>
      </c>
      <c r="D782" t="s">
        <v>1157</v>
      </c>
      <c r="E782" s="2">
        <v>42663</v>
      </c>
      <c r="G782" t="s">
        <v>780</v>
      </c>
      <c r="H782" t="str">
        <f t="shared" si="37"/>
        <v>https://federallibrary.us/DOD/DODI/7730.67/CURRENT/TITLE.html</v>
      </c>
      <c r="I782" t="str">
        <f t="shared" si="38"/>
        <v>&lt;tr&gt; &lt;td&gt; &lt;a href=https://federallibrary.us/DOD/DODI/7730.67/CURRENT/TITLE.html&gt; DODI 7730.67&lt;/a&gt; &lt;/td&gt; &lt;td&gt; Aviation Incentive Pays and Bonus Program &lt;/td&gt; &lt;/tr&gt;</v>
      </c>
    </row>
    <row r="783" spans="1:9" x14ac:dyDescent="0.25">
      <c r="A783" t="s">
        <v>1115</v>
      </c>
      <c r="B783" t="s">
        <v>1000</v>
      </c>
      <c r="C783" t="str">
        <f t="shared" si="36"/>
        <v>7730.68</v>
      </c>
      <c r="D783" t="s">
        <v>1157</v>
      </c>
      <c r="E783" s="2">
        <v>45170</v>
      </c>
      <c r="G783" t="s">
        <v>781</v>
      </c>
      <c r="H783" t="str">
        <f t="shared" si="37"/>
        <v>https://federallibrary.us/DOD/DODI/7730.68/CURRENT/TITLE.html</v>
      </c>
      <c r="I783" t="str">
        <f t="shared" si="38"/>
        <v>&lt;tr&gt; &lt;td&gt; &lt;a href=https://federallibrary.us/DOD/DODI/7730.68/CURRENT/TITLE.html&gt; DODI 7730.68&lt;/a&gt; &lt;/td&gt; &lt;td&gt; Uniformed Services Human Resources Information System  &lt;/td&gt; &lt;/tr&gt;</v>
      </c>
    </row>
    <row r="784" spans="1:9" x14ac:dyDescent="0.25">
      <c r="A784" t="s">
        <v>1116</v>
      </c>
      <c r="B784" t="s">
        <v>858</v>
      </c>
      <c r="C784" t="str">
        <f t="shared" si="36"/>
        <v>7750.06</v>
      </c>
      <c r="D784" t="s">
        <v>1157</v>
      </c>
      <c r="E784" s="2">
        <v>43950</v>
      </c>
      <c r="G784" t="s">
        <v>782</v>
      </c>
      <c r="H784" t="str">
        <f t="shared" si="37"/>
        <v>https://federallibrary.us/DOD/DODI/7750.06/CURRENT/TITLE.html</v>
      </c>
      <c r="I784" t="str">
        <f t="shared" si="38"/>
        <v>&lt;tr&gt; &lt;td&gt; &lt;a href=https://federallibrary.us/DOD/DODI/7750.06/CURRENT/TITLE.html&gt; DODI 7750.06&lt;/a&gt; &lt;/td&gt; &lt;td&gt; Information Requirements for Semiannual Report to the Congress &lt;/td&gt; &lt;/tr&gt;</v>
      </c>
    </row>
    <row r="785" spans="1:9" x14ac:dyDescent="0.25">
      <c r="A785" t="s">
        <v>1116</v>
      </c>
      <c r="B785" t="s">
        <v>871</v>
      </c>
      <c r="C785" t="str">
        <f t="shared" si="36"/>
        <v>7750.07</v>
      </c>
      <c r="D785" t="s">
        <v>1157</v>
      </c>
      <c r="E785" s="2">
        <v>44670</v>
      </c>
      <c r="G785" t="s">
        <v>783</v>
      </c>
      <c r="H785" t="str">
        <f t="shared" si="37"/>
        <v>https://federallibrary.us/DOD/DODI/7750.07/CURRENT/TITLE.html</v>
      </c>
      <c r="I785" t="str">
        <f t="shared" si="38"/>
        <v>&lt;tr&gt; &lt;td&gt; &lt;a href=https://federallibrary.us/DOD/DODI/7750.07/CURRENT/TITLE.html&gt; DODI 7750.07&lt;/a&gt; &lt;/td&gt; &lt;td&gt; DoD Forms Management Program &lt;/td&gt; &lt;/tr&gt;</v>
      </c>
    </row>
    <row r="786" spans="1:9" x14ac:dyDescent="0.25">
      <c r="A786" t="s">
        <v>1117</v>
      </c>
      <c r="B786" t="s">
        <v>845</v>
      </c>
      <c r="C786" t="str">
        <f t="shared" si="36"/>
        <v>7770.01</v>
      </c>
      <c r="D786" t="s">
        <v>1157</v>
      </c>
      <c r="E786" s="2">
        <v>44778</v>
      </c>
      <c r="G786" t="s">
        <v>784</v>
      </c>
      <c r="H786" t="str">
        <f t="shared" si="37"/>
        <v>https://federallibrary.us/DOD/DODI/7770.01/CURRENT/TITLE.html</v>
      </c>
      <c r="I786" t="str">
        <f t="shared" si="38"/>
        <v>&lt;tr&gt; &lt;td&gt; &lt;a href=https://federallibrary.us/DOD/DODI/7770.01/CURRENT/TITLE.html&gt; DODI 7770.01&lt;/a&gt; &lt;/td&gt; &lt;td&gt; Reporting Requirements for Retired Uniformed Service Pay File Extracts &lt;/td&gt; &lt;/tr&gt;</v>
      </c>
    </row>
    <row r="787" spans="1:9" x14ac:dyDescent="0.25">
      <c r="A787" t="s">
        <v>1117</v>
      </c>
      <c r="B787" t="s">
        <v>870</v>
      </c>
      <c r="C787" t="str">
        <f t="shared" si="36"/>
        <v>7770.02</v>
      </c>
      <c r="D787" t="s">
        <v>1157</v>
      </c>
      <c r="E787" s="2">
        <v>43626</v>
      </c>
      <c r="G787" t="s">
        <v>785</v>
      </c>
      <c r="H787" t="str">
        <f t="shared" si="37"/>
        <v>https://federallibrary.us/DOD/DODI/7770.02/CURRENT/TITLE.html</v>
      </c>
      <c r="I787" t="str">
        <f t="shared" si="38"/>
        <v>&lt;tr&gt; &lt;td&gt; &lt;a href=https://federallibrary.us/DOD/DODI/7770.02/CURRENT/TITLE.html&gt; DODI 7770.02&lt;/a&gt; &lt;/td&gt; &lt;td&gt; Uniformed Services Pay File &lt;/td&gt; &lt;/tr&gt;</v>
      </c>
    </row>
    <row r="788" spans="1:9" x14ac:dyDescent="0.25">
      <c r="A788" t="s">
        <v>1118</v>
      </c>
      <c r="B788" t="s">
        <v>845</v>
      </c>
      <c r="C788" t="str">
        <f t="shared" si="36"/>
        <v>8010.01</v>
      </c>
      <c r="D788" t="s">
        <v>1157</v>
      </c>
      <c r="E788" s="2">
        <v>43353</v>
      </c>
      <c r="G788" t="s">
        <v>786</v>
      </c>
      <c r="H788" t="str">
        <f t="shared" si="37"/>
        <v>https://federallibrary.us/DOD/DODI/8010.01/CURRENT/TITLE.html</v>
      </c>
      <c r="I788" t="str">
        <f t="shared" si="38"/>
        <v>&lt;tr&gt; &lt;td&gt; &lt;a href=https://federallibrary.us/DOD/DODI/8010.01/CURRENT/TITLE.html&gt; DODI 8010.01&lt;/a&gt; &lt;/td&gt; &lt;td&gt; Department of Defense Information Network (DODIN) Transport &lt;/td&gt; &lt;/tr&gt;</v>
      </c>
    </row>
    <row r="789" spans="1:9" x14ac:dyDescent="0.25">
      <c r="A789" t="s">
        <v>1119</v>
      </c>
      <c r="B789" t="s">
        <v>846</v>
      </c>
      <c r="C789" t="str">
        <f t="shared" si="36"/>
        <v>8100.04</v>
      </c>
      <c r="D789" t="s">
        <v>1157</v>
      </c>
      <c r="E789" s="2">
        <v>40521</v>
      </c>
      <c r="G789" t="s">
        <v>787</v>
      </c>
      <c r="H789" t="str">
        <f t="shared" si="37"/>
        <v>https://federallibrary.us/DOD/DODI/8100.04/CURRENT/TITLE.html</v>
      </c>
      <c r="I789" t="str">
        <f t="shared" si="38"/>
        <v>&lt;tr&gt; &lt;td&gt; &lt;a href=https://federallibrary.us/DOD/DODI/8100.04/CURRENT/TITLE.html&gt; DODI 8100.04&lt;/a&gt; &lt;/td&gt; &lt;td&gt; DoD Unified Capabilities (UC) &lt;/td&gt; &lt;/tr&gt;</v>
      </c>
    </row>
    <row r="790" spans="1:9" x14ac:dyDescent="0.25">
      <c r="A790" t="s">
        <v>1120</v>
      </c>
      <c r="B790" t="s">
        <v>845</v>
      </c>
      <c r="C790" t="str">
        <f t="shared" si="36"/>
        <v>8110.01</v>
      </c>
      <c r="D790" t="s">
        <v>1157</v>
      </c>
      <c r="E790" s="2">
        <v>44377</v>
      </c>
      <c r="G790" t="s">
        <v>788</v>
      </c>
      <c r="H790" t="str">
        <f t="shared" si="37"/>
        <v>https://federallibrary.us/DOD/DODI/8110.01/CURRENT/TITLE.html</v>
      </c>
      <c r="I790" t="str">
        <f t="shared" si="38"/>
        <v>&lt;tr&gt; &lt;td&gt; &lt;a href=https://federallibrary.us/DOD/DODI/8110.01/CURRENT/TITLE.html&gt; DODI 8110.01&lt;/a&gt; &lt;/td&gt; &lt;td&gt; Mission Partner Environment Information Sharing Capability Implementation for the DoD &lt;/td&gt; &lt;/tr&gt;</v>
      </c>
    </row>
    <row r="791" spans="1:9" x14ac:dyDescent="0.25">
      <c r="A791" t="s">
        <v>1121</v>
      </c>
      <c r="B791" t="s">
        <v>870</v>
      </c>
      <c r="C791" t="str">
        <f t="shared" si="36"/>
        <v>8115.02</v>
      </c>
      <c r="D791" t="s">
        <v>1157</v>
      </c>
      <c r="E791" s="2">
        <v>39020</v>
      </c>
      <c r="G791" t="s">
        <v>789</v>
      </c>
      <c r="H791" t="str">
        <f t="shared" si="37"/>
        <v>https://federallibrary.us/DOD/DODI/8115.02/CURRENT/TITLE.html</v>
      </c>
      <c r="I791" t="str">
        <f t="shared" si="38"/>
        <v>&lt;tr&gt; &lt;td&gt; &lt;a href=https://federallibrary.us/DOD/DODI/8115.02/CURRENT/TITLE.html&gt; DODI 8115.02&lt;/a&gt; &lt;/td&gt; &lt;td&gt; Information Technology Portfolio Management Implementation &lt;/td&gt; &lt;/tr&gt;</v>
      </c>
    </row>
    <row r="792" spans="1:9" x14ac:dyDescent="0.25">
      <c r="A792" t="s">
        <v>1122</v>
      </c>
      <c r="B792" t="s">
        <v>845</v>
      </c>
      <c r="C792" t="str">
        <f t="shared" si="36"/>
        <v>8130.01</v>
      </c>
      <c r="D792" t="s">
        <v>1157</v>
      </c>
      <c r="E792" s="2">
        <v>44047</v>
      </c>
      <c r="G792" t="s">
        <v>790</v>
      </c>
      <c r="H792" t="str">
        <f t="shared" si="37"/>
        <v>https://federallibrary.us/DOD/DODI/8130.01/CURRENT/TITLE.html</v>
      </c>
      <c r="I792" t="str">
        <f t="shared" si="38"/>
        <v>&lt;tr&gt; &lt;td&gt; &lt;a href=https://federallibrary.us/DOD/DODI/8130.01/CURRENT/TITLE.html&gt; DODI 8130.01&lt;/a&gt; &lt;/td&gt; &lt;td&gt; Installation Geospatial Information and Services (IGI&amp;S) &lt;/td&gt; &lt;/tr&gt;</v>
      </c>
    </row>
    <row r="793" spans="1:9" x14ac:dyDescent="0.25">
      <c r="A793" t="s">
        <v>1123</v>
      </c>
      <c r="B793" t="s">
        <v>870</v>
      </c>
      <c r="C793" t="str">
        <f t="shared" si="36"/>
        <v>8140.02</v>
      </c>
      <c r="D793" t="s">
        <v>1157</v>
      </c>
      <c r="E793" s="2">
        <v>44551</v>
      </c>
      <c r="G793" t="s">
        <v>791</v>
      </c>
      <c r="H793" t="str">
        <f t="shared" si="37"/>
        <v>https://federallibrary.us/DOD/DODI/8140.02/CURRENT/TITLE.html</v>
      </c>
      <c r="I793" t="str">
        <f t="shared" si="38"/>
        <v>&lt;tr&gt; &lt;td&gt; &lt;a href=https://federallibrary.us/DOD/DODI/8140.02/CURRENT/TITLE.html&gt; DODI 8140.02&lt;/a&gt; &lt;/td&gt; &lt;td&gt; Identification, Tracking, and Reporting of Cyberspace Workforce Requirements &lt;/td&gt; &lt;/tr&gt;</v>
      </c>
    </row>
    <row r="794" spans="1:9" x14ac:dyDescent="0.25">
      <c r="A794" t="s">
        <v>1124</v>
      </c>
      <c r="B794" t="s">
        <v>845</v>
      </c>
      <c r="C794" t="str">
        <f t="shared" si="36"/>
        <v>8145.01</v>
      </c>
      <c r="D794" t="s">
        <v>1157</v>
      </c>
      <c r="E794" s="2">
        <v>42944</v>
      </c>
      <c r="G794" t="s">
        <v>792</v>
      </c>
      <c r="H794" t="str">
        <f t="shared" si="37"/>
        <v>https://federallibrary.us/DOD/DODI/8145.01/CURRENT/TITLE.html</v>
      </c>
      <c r="I794" t="str">
        <f t="shared" si="38"/>
        <v>&lt;tr&gt; &lt;td&gt; &lt;a href=https://federallibrary.us/DOD/DODI/8145.01/CURRENT/TITLE.html&gt; DODI 8145.01&lt;/a&gt; &lt;/td&gt; &lt;td&gt; DoD Information Assurance Scholarship Program &lt;/td&gt; &lt;/tr&gt;</v>
      </c>
    </row>
    <row r="795" spans="1:9" x14ac:dyDescent="0.25">
      <c r="A795" t="s">
        <v>1125</v>
      </c>
      <c r="B795" t="s">
        <v>845</v>
      </c>
      <c r="C795" t="str">
        <f t="shared" si="36"/>
        <v>8170.01</v>
      </c>
      <c r="D795" t="s">
        <v>1157</v>
      </c>
      <c r="E795" s="2">
        <v>44432</v>
      </c>
      <c r="G795" t="s">
        <v>793</v>
      </c>
      <c r="H795" t="str">
        <f t="shared" si="37"/>
        <v>https://federallibrary.us/DOD/DODI/8170.01/CURRENT/TITLE.html</v>
      </c>
      <c r="I795" t="str">
        <f t="shared" si="38"/>
        <v>&lt;tr&gt; &lt;td&gt; &lt;a href=https://federallibrary.us/DOD/DODI/8170.01/CURRENT/TITLE.html&gt; DODI 8170.01&lt;/a&gt; &lt;/td&gt; &lt;td&gt; Online Information Management and Electronic Messaging &lt;/td&gt; &lt;/tr&gt;</v>
      </c>
    </row>
    <row r="796" spans="1:9" x14ac:dyDescent="0.25">
      <c r="A796" t="s">
        <v>1126</v>
      </c>
      <c r="B796" t="s">
        <v>867</v>
      </c>
      <c r="C796" t="str">
        <f t="shared" si="36"/>
        <v>8260.03</v>
      </c>
      <c r="D796" t="s">
        <v>1157</v>
      </c>
      <c r="E796" s="2">
        <v>43178</v>
      </c>
      <c r="G796" t="s">
        <v>794</v>
      </c>
      <c r="H796" t="str">
        <f t="shared" si="37"/>
        <v>https://federallibrary.us/DOD/DODI/8260.03/CURRENT/TITLE.html</v>
      </c>
      <c r="I796" t="str">
        <f t="shared" si="38"/>
        <v>&lt;tr&gt; &lt;td&gt; &lt;a href=https://federallibrary.us/DOD/DODI/8260.03/CURRENT/TITLE.html&gt; DODI 8260.03&lt;/a&gt; &lt;/td&gt; &lt;td&gt; The Global Force Management Data Initiative (GFM DI) &lt;/td&gt; &lt;/tr&gt;</v>
      </c>
    </row>
    <row r="797" spans="1:9" x14ac:dyDescent="0.25">
      <c r="A797" t="s">
        <v>1126</v>
      </c>
      <c r="B797" t="s">
        <v>846</v>
      </c>
      <c r="C797" t="str">
        <f t="shared" si="36"/>
        <v>8260.04</v>
      </c>
      <c r="D797" t="s">
        <v>1157</v>
      </c>
      <c r="E797" s="2">
        <v>42138</v>
      </c>
      <c r="G797" t="s">
        <v>795</v>
      </c>
      <c r="H797" t="str">
        <f t="shared" si="37"/>
        <v>https://federallibrary.us/DOD/DODI/8260.04/CURRENT/TITLE.html</v>
      </c>
      <c r="I797" t="str">
        <f t="shared" si="38"/>
        <v>&lt;tr&gt; &lt;td&gt; &lt;a href=https://federallibrary.us/DOD/DODI/8260.04/CURRENT/TITLE.html&gt; DODI 8260.04&lt;/a&gt; &lt;/td&gt; &lt;td&gt; Military Health System (MHS) Support for DoD Strategic Analysis &lt;/td&gt; &lt;/tr&gt;</v>
      </c>
    </row>
    <row r="798" spans="1:9" x14ac:dyDescent="0.25">
      <c r="A798" t="s">
        <v>1127</v>
      </c>
      <c r="B798" t="s">
        <v>845</v>
      </c>
      <c r="C798" t="str">
        <f t="shared" si="36"/>
        <v>8310.01</v>
      </c>
      <c r="D798" t="s">
        <v>1157</v>
      </c>
      <c r="E798" s="2">
        <v>45023</v>
      </c>
      <c r="G798" t="s">
        <v>796</v>
      </c>
      <c r="H798" t="str">
        <f t="shared" si="37"/>
        <v>https://federallibrary.us/DOD/DODI/8310.01/CURRENT/TITLE.html</v>
      </c>
      <c r="I798" t="str">
        <f t="shared" si="38"/>
        <v>&lt;tr&gt; &lt;td&gt; &lt;a href=https://federallibrary.us/DOD/DODI/8310.01/CURRENT/TITLE.html&gt; DODI 8310.01&lt;/a&gt; &lt;/td&gt; &lt;td&gt; Information Technology Standards in the DoD &lt;/td&gt; &lt;/tr&gt;</v>
      </c>
    </row>
    <row r="799" spans="1:9" x14ac:dyDescent="0.25">
      <c r="A799" t="s">
        <v>1128</v>
      </c>
      <c r="B799" t="s">
        <v>870</v>
      </c>
      <c r="C799" t="str">
        <f t="shared" si="36"/>
        <v>8320.02</v>
      </c>
      <c r="D799" t="s">
        <v>1157</v>
      </c>
      <c r="E799" s="2">
        <v>44006</v>
      </c>
      <c r="G799" t="s">
        <v>797</v>
      </c>
      <c r="H799" t="str">
        <f t="shared" si="37"/>
        <v>https://federallibrary.us/DOD/DODI/8320.02/CURRENT/TITLE.html</v>
      </c>
      <c r="I799" t="str">
        <f t="shared" si="38"/>
        <v>&lt;tr&gt; &lt;td&gt; &lt;a href=https://federallibrary.us/DOD/DODI/8320.02/CURRENT/TITLE.html&gt; DODI 8320.02&lt;/a&gt; &lt;/td&gt; &lt;td&gt; Sharing Data, Information, and Technology (IT) Services in the Department of Defense &lt;/td&gt; &lt;/tr&gt;</v>
      </c>
    </row>
    <row r="800" spans="1:9" x14ac:dyDescent="0.25">
      <c r="A800" t="s">
        <v>1128</v>
      </c>
      <c r="B800" t="s">
        <v>867</v>
      </c>
      <c r="C800" t="str">
        <f t="shared" si="36"/>
        <v>8320.03</v>
      </c>
      <c r="D800" t="s">
        <v>1157</v>
      </c>
      <c r="E800" s="2">
        <v>44494</v>
      </c>
      <c r="G800" t="s">
        <v>798</v>
      </c>
      <c r="H800" t="str">
        <f t="shared" si="37"/>
        <v>https://federallibrary.us/DOD/DODI/8320.03/CURRENT/TITLE.html</v>
      </c>
      <c r="I800" t="str">
        <f t="shared" si="38"/>
        <v>&lt;tr&gt; &lt;td&gt; &lt;a href=https://federallibrary.us/DOD/DODI/8320.03/CURRENT/TITLE.html&gt; DODI 8320.03&lt;/a&gt; &lt;/td&gt; &lt;td&gt; Unique Identification (UID) Standards for Supporting the DoD Information Enterprise &lt;/td&gt; &lt;/tr&gt;</v>
      </c>
    </row>
    <row r="801" spans="1:9" x14ac:dyDescent="0.25">
      <c r="A801" t="s">
        <v>1128</v>
      </c>
      <c r="B801" t="s">
        <v>846</v>
      </c>
      <c r="C801" t="str">
        <f t="shared" si="36"/>
        <v>8320.04</v>
      </c>
      <c r="D801" t="s">
        <v>1157</v>
      </c>
      <c r="E801" s="2">
        <v>43704</v>
      </c>
      <c r="G801" t="s">
        <v>799</v>
      </c>
      <c r="H801" t="str">
        <f t="shared" si="37"/>
        <v>https://federallibrary.us/DOD/DODI/8320.04/CURRENT/TITLE.html</v>
      </c>
      <c r="I801" t="str">
        <f t="shared" si="38"/>
        <v>&lt;tr&gt; &lt;td&gt; &lt;a href=https://federallibrary.us/DOD/DODI/8320.04/CURRENT/TITLE.html&gt; DODI 8320.04&lt;/a&gt; &lt;/td&gt; &lt;td&gt; Item Unique Identification (IUID) Standards for Tangible Personal Property &lt;/td&gt; &lt;/tr&gt;</v>
      </c>
    </row>
    <row r="802" spans="1:9" x14ac:dyDescent="0.25">
      <c r="A802" t="s">
        <v>1128</v>
      </c>
      <c r="B802" t="s">
        <v>868</v>
      </c>
      <c r="C802" t="str">
        <f t="shared" si="36"/>
        <v>8320.05</v>
      </c>
      <c r="D802" t="s">
        <v>1157</v>
      </c>
      <c r="E802" s="2">
        <v>43061</v>
      </c>
      <c r="G802" t="s">
        <v>800</v>
      </c>
      <c r="H802" t="str">
        <f t="shared" si="37"/>
        <v>https://federallibrary.us/DOD/DODI/8320.05/CURRENT/TITLE.html</v>
      </c>
      <c r="I802" t="str">
        <f t="shared" si="38"/>
        <v>&lt;tr&gt; &lt;td&gt; &lt;a href=https://federallibrary.us/DOD/DODI/8320.05/CURRENT/TITLE.html&gt; DODI 8320.05&lt;/a&gt; &lt;/td&gt; &lt;td&gt; Electromagnetic Spectrum Data Sharing &lt;/td&gt; &lt;/tr&gt;</v>
      </c>
    </row>
    <row r="803" spans="1:9" x14ac:dyDescent="0.25">
      <c r="A803" t="s">
        <v>1128</v>
      </c>
      <c r="B803" t="s">
        <v>858</v>
      </c>
      <c r="C803" t="str">
        <f t="shared" si="36"/>
        <v>8320.06</v>
      </c>
      <c r="D803" t="s">
        <v>1157</v>
      </c>
      <c r="E803" s="2">
        <v>43990</v>
      </c>
      <c r="G803" t="s">
        <v>801</v>
      </c>
      <c r="H803" t="str">
        <f t="shared" si="37"/>
        <v>https://federallibrary.us/DOD/DODI/8320.06/CURRENT/TITLE.html</v>
      </c>
      <c r="I803" t="str">
        <f t="shared" si="38"/>
        <v>&lt;tr&gt; &lt;td&gt; &lt;a href=https://federallibrary.us/DOD/DODI/8320.06/CURRENT/TITLE.html&gt; DODI 8320.06&lt;/a&gt; &lt;/td&gt; &lt;td&gt; Organization Unique Identification (OUID) Standards for Unique Identification of External Department of Defense Business Partners &lt;/td&gt; &lt;/tr&gt;</v>
      </c>
    </row>
    <row r="804" spans="1:9" x14ac:dyDescent="0.25">
      <c r="A804" t="s">
        <v>1128</v>
      </c>
      <c r="B804" t="s">
        <v>871</v>
      </c>
      <c r="C804" t="str">
        <f t="shared" si="36"/>
        <v>8320.07</v>
      </c>
      <c r="D804" t="s">
        <v>1157</v>
      </c>
      <c r="E804" s="2">
        <v>43074</v>
      </c>
      <c r="G804" t="s">
        <v>802</v>
      </c>
      <c r="H804" t="str">
        <f t="shared" si="37"/>
        <v>https://federallibrary.us/DOD/DODI/8320.07/CURRENT/TITLE.html</v>
      </c>
      <c r="I804" t="str">
        <f t="shared" si="38"/>
        <v>&lt;tr&gt; &lt;td&gt; &lt;a href=https://federallibrary.us/DOD/DODI/8320.07/CURRENT/TITLE.html&gt; DODI 8320.07&lt;/a&gt; &lt;/td&gt; &lt;td&gt; Implementing the Sharing of Data, Information, and Information Technology (IT) Services in the Department of Defense &lt;/td&gt; &lt;/tr&gt;</v>
      </c>
    </row>
    <row r="805" spans="1:9" x14ac:dyDescent="0.25">
      <c r="A805" t="s">
        <v>1129</v>
      </c>
      <c r="B805" t="s">
        <v>845</v>
      </c>
      <c r="C805" t="str">
        <f t="shared" si="36"/>
        <v>8330.01</v>
      </c>
      <c r="D805" t="s">
        <v>1157</v>
      </c>
      <c r="E805" s="2">
        <v>44831</v>
      </c>
      <c r="G805" t="s">
        <v>803</v>
      </c>
      <c r="H805" t="str">
        <f t="shared" si="37"/>
        <v>https://federallibrary.us/DOD/DODI/8330.01/CURRENT/TITLE.html</v>
      </c>
      <c r="I805" t="str">
        <f t="shared" si="38"/>
        <v>&lt;tr&gt; &lt;td&gt; &lt;a href=https://federallibrary.us/DOD/DODI/8330.01/CURRENT/TITLE.html&gt; DODI 8330.01&lt;/a&gt; &lt;/td&gt; &lt;td&gt; Interoperability of Information Technology, Including National Security Systems &lt;/td&gt; &lt;/tr&gt;</v>
      </c>
    </row>
    <row r="806" spans="1:9" x14ac:dyDescent="0.25">
      <c r="A806" t="s">
        <v>1130</v>
      </c>
      <c r="B806" t="s">
        <v>845</v>
      </c>
      <c r="C806" t="str">
        <f t="shared" si="36"/>
        <v>8410.01</v>
      </c>
      <c r="D806" t="s">
        <v>1157</v>
      </c>
      <c r="E806" s="2">
        <v>44351</v>
      </c>
      <c r="G806" t="s">
        <v>804</v>
      </c>
      <c r="H806" t="str">
        <f t="shared" si="37"/>
        <v>https://federallibrary.us/DOD/DODI/8410.01/CURRENT/TITLE.html</v>
      </c>
      <c r="I806" t="str">
        <f t="shared" si="38"/>
        <v>&lt;tr&gt; &lt;td&gt; &lt;a href=https://federallibrary.us/DOD/DODI/8410.01/CURRENT/TITLE.html&gt; DODI 8410.01&lt;/a&gt; &lt;/td&gt; &lt;td&gt; Internet Domain Name and Internet Protocol Address Space Use and Approval &lt;/td&gt; &lt;/tr&gt;</v>
      </c>
    </row>
    <row r="807" spans="1:9" x14ac:dyDescent="0.25">
      <c r="A807" t="s">
        <v>1130</v>
      </c>
      <c r="B807" t="s">
        <v>870</v>
      </c>
      <c r="C807" t="str">
        <f t="shared" si="36"/>
        <v>8410.02</v>
      </c>
      <c r="D807" t="s">
        <v>1157</v>
      </c>
      <c r="E807" s="2">
        <v>44538</v>
      </c>
      <c r="G807" t="s">
        <v>805</v>
      </c>
      <c r="H807" t="str">
        <f t="shared" si="37"/>
        <v>https://federallibrary.us/DOD/DODI/8410.02/CURRENT/TITLE.html</v>
      </c>
      <c r="I807" t="str">
        <f t="shared" si="38"/>
        <v>&lt;tr&gt; &lt;td&gt; &lt;a href=https://federallibrary.us/DOD/DODI/8410.02/CURRENT/TITLE.html&gt; DODI 8410.02&lt;/a&gt; &lt;/td&gt; &lt;td&gt; Support to DoD Information Network Operations &lt;/td&gt; &lt;/tr&gt;</v>
      </c>
    </row>
    <row r="808" spans="1:9" x14ac:dyDescent="0.25">
      <c r="A808" t="s">
        <v>1130</v>
      </c>
      <c r="B808" t="s">
        <v>867</v>
      </c>
      <c r="C808" t="str">
        <f t="shared" si="36"/>
        <v>8410.03</v>
      </c>
      <c r="D808" t="s">
        <v>1157</v>
      </c>
      <c r="E808" s="2">
        <v>42935</v>
      </c>
      <c r="G808" t="s">
        <v>806</v>
      </c>
      <c r="H808" t="str">
        <f t="shared" si="37"/>
        <v>https://federallibrary.us/DOD/DODI/8410.03/CURRENT/TITLE.html</v>
      </c>
      <c r="I808" t="str">
        <f t="shared" si="38"/>
        <v>&lt;tr&gt; &lt;td&gt; &lt;a href=https://federallibrary.us/DOD/DODI/8410.03/CURRENT/TITLE.html&gt; DODI 8410.03&lt;/a&gt; &lt;/td&gt; &lt;td&gt; Network Management (NM) &lt;/td&gt; &lt;/tr&gt;</v>
      </c>
    </row>
    <row r="809" spans="1:9" x14ac:dyDescent="0.25">
      <c r="A809" t="s">
        <v>1131</v>
      </c>
      <c r="B809" t="s">
        <v>845</v>
      </c>
      <c r="C809" t="str">
        <f t="shared" si="36"/>
        <v>8420.01</v>
      </c>
      <c r="D809" t="s">
        <v>1157</v>
      </c>
      <c r="E809" s="2">
        <v>43042</v>
      </c>
      <c r="G809" t="s">
        <v>807</v>
      </c>
      <c r="H809" t="str">
        <f t="shared" si="37"/>
        <v>https://federallibrary.us/DOD/DODI/8420.01/CURRENT/TITLE.html</v>
      </c>
      <c r="I809" t="str">
        <f t="shared" si="38"/>
        <v>&lt;tr&gt; &lt;td&gt; &lt;a href=https://federallibrary.us/DOD/DODI/8420.01/CURRENT/TITLE.html&gt; DODI 8420.01&lt;/a&gt; &lt;/td&gt; &lt;td&gt; Commercial Wireless Local-Area Network (WLAN) Devices, Systems, and Technologies &lt;/td&gt; &lt;/tr&gt;</v>
      </c>
    </row>
    <row r="810" spans="1:9" x14ac:dyDescent="0.25">
      <c r="A810" t="s">
        <v>1131</v>
      </c>
      <c r="B810" t="s">
        <v>870</v>
      </c>
      <c r="C810" t="str">
        <f t="shared" si="36"/>
        <v>8420.02</v>
      </c>
      <c r="D810" t="s">
        <v>1157</v>
      </c>
      <c r="E810" s="2">
        <v>45141</v>
      </c>
      <c r="G810" t="s">
        <v>808</v>
      </c>
      <c r="H810" t="str">
        <f t="shared" si="37"/>
        <v>https://federallibrary.us/DOD/DODI/8420.02/CURRENT/TITLE.html</v>
      </c>
      <c r="I810" t="str">
        <f t="shared" si="38"/>
        <v>&lt;tr&gt; &lt;td&gt; &lt;a href=https://federallibrary.us/DOD/DODI/8420.02/CURRENT/TITLE.html&gt; DODI 8420.02&lt;/a&gt; &lt;/td&gt; &lt;td&gt; DoD Satellite Communications &lt;/td&gt; &lt;/tr&gt;</v>
      </c>
    </row>
    <row r="811" spans="1:9" x14ac:dyDescent="0.25">
      <c r="A811" t="s">
        <v>1132</v>
      </c>
      <c r="B811" t="s">
        <v>845</v>
      </c>
      <c r="C811" t="str">
        <f t="shared" si="36"/>
        <v>8440.01</v>
      </c>
      <c r="D811" t="s">
        <v>1157</v>
      </c>
      <c r="E811" s="2">
        <v>42362</v>
      </c>
      <c r="G811" t="s">
        <v>809</v>
      </c>
      <c r="H811" t="str">
        <f t="shared" si="37"/>
        <v>https://federallibrary.us/DOD/DODI/8440.01/CURRENT/TITLE.html</v>
      </c>
      <c r="I811" t="str">
        <f t="shared" si="38"/>
        <v>&lt;tr&gt; &lt;td&gt; &lt;a href=https://federallibrary.us/DOD/DODI/8440.01/CURRENT/TITLE.html&gt; DODI 8440.01&lt;/a&gt; &lt;/td&gt; &lt;td&gt; DoD Information Technology (IT) Service Management (ITSM) &lt;/td&gt; &lt;/tr&gt;</v>
      </c>
    </row>
    <row r="812" spans="1:9" x14ac:dyDescent="0.25">
      <c r="A812" t="s">
        <v>1133</v>
      </c>
      <c r="B812" t="s">
        <v>845</v>
      </c>
      <c r="C812" t="str">
        <f t="shared" si="36"/>
        <v>8500.01</v>
      </c>
      <c r="D812" t="s">
        <v>1157</v>
      </c>
      <c r="E812" s="2">
        <v>43745</v>
      </c>
      <c r="G812" t="s">
        <v>810</v>
      </c>
      <c r="H812" t="str">
        <f t="shared" si="37"/>
        <v>https://federallibrary.us/DOD/DODI/8500.01/CURRENT/TITLE.html</v>
      </c>
      <c r="I812" t="str">
        <f t="shared" si="38"/>
        <v>&lt;tr&gt; &lt;td&gt; &lt;a href=https://federallibrary.us/DOD/DODI/8500.01/CURRENT/TITLE.html&gt; DODI 8500.01&lt;/a&gt; &lt;/td&gt; &lt;td&gt; Cybersecurity &lt;/td&gt; &lt;/tr&gt;</v>
      </c>
    </row>
    <row r="813" spans="1:9" x14ac:dyDescent="0.25">
      <c r="A813" t="s">
        <v>1134</v>
      </c>
      <c r="B813" t="s">
        <v>845</v>
      </c>
      <c r="C813" t="str">
        <f t="shared" si="36"/>
        <v>8510.01</v>
      </c>
      <c r="D813" t="s">
        <v>1157</v>
      </c>
      <c r="E813" s="2">
        <v>44761</v>
      </c>
      <c r="G813" t="s">
        <v>811</v>
      </c>
      <c r="H813" t="str">
        <f t="shared" si="37"/>
        <v>https://federallibrary.us/DOD/DODI/8510.01/CURRENT/TITLE.html</v>
      </c>
      <c r="I813" t="str">
        <f t="shared" si="38"/>
        <v>&lt;tr&gt; &lt;td&gt; &lt;a href=https://federallibrary.us/DOD/DODI/8510.01/CURRENT/TITLE.html&gt; DODI 8510.01&lt;/a&gt; &lt;/td&gt; &lt;td&gt; Risk Management Framework for DoD Systems &lt;/td&gt; &lt;/tr&gt;</v>
      </c>
    </row>
    <row r="814" spans="1:9" x14ac:dyDescent="0.25">
      <c r="A814" t="s">
        <v>1135</v>
      </c>
      <c r="B814" t="s">
        <v>870</v>
      </c>
      <c r="C814" t="str">
        <f t="shared" si="36"/>
        <v>8520.02</v>
      </c>
      <c r="D814" t="s">
        <v>1157</v>
      </c>
      <c r="E814" s="2">
        <v>45064</v>
      </c>
      <c r="G814" t="s">
        <v>812</v>
      </c>
      <c r="H814" t="str">
        <f t="shared" si="37"/>
        <v>https://federallibrary.us/DOD/DODI/8520.02/CURRENT/TITLE.html</v>
      </c>
      <c r="I814" t="str">
        <f t="shared" si="38"/>
        <v>&lt;tr&gt; &lt;td&gt; &lt;a href=https://federallibrary.us/DOD/DODI/8520.02/CURRENT/TITLE.html&gt; DODI 8520.02&lt;/a&gt; &lt;/td&gt; &lt;td&gt; Public Key Infrastructure and Public Key Enabling &lt;/td&gt; &lt;/tr&gt;</v>
      </c>
    </row>
    <row r="815" spans="1:9" x14ac:dyDescent="0.25">
      <c r="A815" t="s">
        <v>1135</v>
      </c>
      <c r="B815" t="s">
        <v>867</v>
      </c>
      <c r="C815" t="str">
        <f t="shared" si="36"/>
        <v>8520.03</v>
      </c>
      <c r="D815" t="s">
        <v>1157</v>
      </c>
      <c r="E815" s="2">
        <v>45065</v>
      </c>
      <c r="G815" t="s">
        <v>813</v>
      </c>
      <c r="H815" t="str">
        <f t="shared" si="37"/>
        <v>https://federallibrary.us/DOD/DODI/8520.03/CURRENT/TITLE.html</v>
      </c>
      <c r="I815" t="str">
        <f t="shared" si="38"/>
        <v>&lt;tr&gt; &lt;td&gt; &lt;a href=https://federallibrary.us/DOD/DODI/8520.03/CURRENT/TITLE.html&gt; DODI 8520.03&lt;/a&gt; &lt;/td&gt; &lt;td&gt; Identity Authentication for Information Systems &lt;/td&gt; &lt;/tr&gt;</v>
      </c>
    </row>
    <row r="816" spans="1:9" x14ac:dyDescent="0.25">
      <c r="A816" t="s">
        <v>1136</v>
      </c>
      <c r="B816" t="s">
        <v>845</v>
      </c>
      <c r="C816" t="str">
        <f t="shared" si="36"/>
        <v>8523.01</v>
      </c>
      <c r="D816" t="s">
        <v>1157</v>
      </c>
      <c r="E816" s="2">
        <v>44202</v>
      </c>
      <c r="G816" t="s">
        <v>814</v>
      </c>
      <c r="H816" t="str">
        <f t="shared" si="37"/>
        <v>https://federallibrary.us/DOD/DODI/8523.01/CURRENT/TITLE.html</v>
      </c>
      <c r="I816" t="str">
        <f t="shared" si="38"/>
        <v>&lt;tr&gt; &lt;td&gt; &lt;a href=https://federallibrary.us/DOD/DODI/8523.01/CURRENT/TITLE.html&gt; DODI 8523.01&lt;/a&gt; &lt;/td&gt; &lt;td&gt; Communications Security &lt;/td&gt; &lt;/tr&gt;</v>
      </c>
    </row>
    <row r="817" spans="1:9" x14ac:dyDescent="0.25">
      <c r="A817" t="s">
        <v>1137</v>
      </c>
      <c r="B817" t="s">
        <v>845</v>
      </c>
      <c r="C817" t="str">
        <f t="shared" si="36"/>
        <v>8530.01</v>
      </c>
      <c r="D817" t="s">
        <v>1157</v>
      </c>
      <c r="E817" s="2">
        <v>42941</v>
      </c>
      <c r="G817" t="s">
        <v>815</v>
      </c>
      <c r="H817" t="str">
        <f t="shared" si="37"/>
        <v>https://federallibrary.us/DOD/DODI/8530.01/CURRENT/TITLE.html</v>
      </c>
      <c r="I817" t="str">
        <f t="shared" si="38"/>
        <v>&lt;tr&gt; &lt;td&gt; &lt;a href=https://federallibrary.us/DOD/DODI/8530.01/CURRENT/TITLE.html&gt; DODI 8530.01&lt;/a&gt; &lt;/td&gt; &lt;td&gt; Cybersecurity Activities Support to DoD Information Network Operations &lt;/td&gt; &lt;/tr&gt;</v>
      </c>
    </row>
    <row r="818" spans="1:9" x14ac:dyDescent="0.25">
      <c r="A818" t="s">
        <v>1137</v>
      </c>
      <c r="B818" t="s">
        <v>867</v>
      </c>
      <c r="C818" t="str">
        <f t="shared" si="36"/>
        <v>8530.03</v>
      </c>
      <c r="D818" t="s">
        <v>1157</v>
      </c>
      <c r="E818" s="2">
        <v>45147</v>
      </c>
      <c r="G818" t="s">
        <v>816</v>
      </c>
      <c r="H818" t="str">
        <f t="shared" si="37"/>
        <v>https://federallibrary.us/DOD/DODI/8530.03/CURRENT/TITLE.html</v>
      </c>
      <c r="I818" t="str">
        <f t="shared" si="38"/>
        <v>&lt;tr&gt; &lt;td&gt; &lt;a href=https://federallibrary.us/DOD/DODI/8530.03/CURRENT/TITLE.html&gt; DODI 8530.03&lt;/a&gt; &lt;/td&gt; &lt;td&gt; Cyber Incident Response  &lt;/td&gt; &lt;/tr&gt;</v>
      </c>
    </row>
    <row r="819" spans="1:9" x14ac:dyDescent="0.25">
      <c r="A819" t="s">
        <v>1138</v>
      </c>
      <c r="B819" t="s">
        <v>845</v>
      </c>
      <c r="C819" t="str">
        <f t="shared" si="36"/>
        <v>8531.01</v>
      </c>
      <c r="D819" t="s">
        <v>1157</v>
      </c>
      <c r="E819" s="2">
        <v>44089</v>
      </c>
      <c r="G819" t="s">
        <v>817</v>
      </c>
      <c r="H819" t="str">
        <f t="shared" si="37"/>
        <v>https://federallibrary.us/DOD/DODI/8531.01/CURRENT/TITLE.html</v>
      </c>
      <c r="I819" t="str">
        <f t="shared" si="38"/>
        <v>&lt;tr&gt; &lt;td&gt; &lt;a href=https://federallibrary.us/DOD/DODI/8531.01/CURRENT/TITLE.html&gt; DODI 8531.01&lt;/a&gt; &lt;/td&gt; &lt;td&gt; DoD Vulnerability Management &lt;/td&gt; &lt;/tr&gt;</v>
      </c>
    </row>
    <row r="820" spans="1:9" x14ac:dyDescent="0.25">
      <c r="A820" t="s">
        <v>1139</v>
      </c>
      <c r="B820" t="s">
        <v>845</v>
      </c>
      <c r="C820" t="str">
        <f t="shared" si="36"/>
        <v>8540.01</v>
      </c>
      <c r="D820" t="s">
        <v>1157</v>
      </c>
      <c r="E820" s="2">
        <v>42975</v>
      </c>
      <c r="G820" t="s">
        <v>818</v>
      </c>
      <c r="H820" t="str">
        <f t="shared" si="37"/>
        <v>https://federallibrary.us/DOD/DODI/8540.01/CURRENT/TITLE.html</v>
      </c>
      <c r="I820" t="str">
        <f t="shared" si="38"/>
        <v>&lt;tr&gt; &lt;td&gt; &lt;a href=https://federallibrary.us/DOD/DODI/8540.01/CURRENT/TITLE.html&gt; DODI 8540.01&lt;/a&gt; &lt;/td&gt; &lt;td&gt; Cross Domain (CD) Policy &lt;/td&gt; &lt;/tr&gt;</v>
      </c>
    </row>
    <row r="821" spans="1:9" x14ac:dyDescent="0.25">
      <c r="A821" t="s">
        <v>1140</v>
      </c>
      <c r="B821" t="s">
        <v>845</v>
      </c>
      <c r="C821" t="str">
        <f t="shared" si="36"/>
        <v>8551.01</v>
      </c>
      <c r="D821" t="s">
        <v>1157</v>
      </c>
      <c r="E821" s="2">
        <v>45077</v>
      </c>
      <c r="G821" t="s">
        <v>819</v>
      </c>
      <c r="H821" t="str">
        <f t="shared" si="37"/>
        <v>https://federallibrary.us/DOD/DODI/8551.01/CURRENT/TITLE.html</v>
      </c>
      <c r="I821" t="str">
        <f t="shared" si="38"/>
        <v>&lt;tr&gt; &lt;td&gt; &lt;a href=https://federallibrary.us/DOD/DODI/8551.01/CURRENT/TITLE.html&gt; DODI 8551.01&lt;/a&gt; &lt;/td&gt; &lt;td&gt; Ports, Protocols, and Services Management &lt;/td&gt; &lt;/tr&gt;</v>
      </c>
    </row>
    <row r="822" spans="1:9" x14ac:dyDescent="0.25">
      <c r="A822" t="s">
        <v>1141</v>
      </c>
      <c r="B822" t="s">
        <v>845</v>
      </c>
      <c r="C822" t="str">
        <f t="shared" si="36"/>
        <v>8560.01</v>
      </c>
      <c r="D822" t="s">
        <v>1157</v>
      </c>
      <c r="E822" s="2">
        <v>43334</v>
      </c>
      <c r="G822" t="s">
        <v>820</v>
      </c>
      <c r="H822" t="str">
        <f t="shared" si="37"/>
        <v>https://federallibrary.us/DOD/DODI/8560.01/CURRENT/TITLE.html</v>
      </c>
      <c r="I822" t="str">
        <f t="shared" si="38"/>
        <v>&lt;tr&gt; &lt;td&gt; &lt;a href=https://federallibrary.us/DOD/DODI/8560.01/CURRENT/TITLE.html&gt; DODI 8560.01&lt;/a&gt; &lt;/td&gt; &lt;td&gt; Communications Security (COMSEC) Monitoring  &lt;/td&gt; &lt;/tr&gt;</v>
      </c>
    </row>
    <row r="823" spans="1:9" x14ac:dyDescent="0.25">
      <c r="A823" t="s">
        <v>1142</v>
      </c>
      <c r="B823" t="s">
        <v>845</v>
      </c>
      <c r="C823" t="str">
        <f t="shared" si="36"/>
        <v>8580.01</v>
      </c>
      <c r="D823" t="s">
        <v>1157</v>
      </c>
      <c r="E823" s="2">
        <v>38177</v>
      </c>
      <c r="G823" t="s">
        <v>821</v>
      </c>
      <c r="H823" t="str">
        <f t="shared" si="37"/>
        <v>https://federallibrary.us/DOD/DODI/8580.01/CURRENT/TITLE.html</v>
      </c>
      <c r="I823" t="str">
        <f t="shared" si="38"/>
        <v>&lt;tr&gt; &lt;td&gt; &lt;a href=https://federallibrary.us/DOD/DODI/8580.01/CURRENT/TITLE.html&gt; DODI 8580.01&lt;/a&gt; &lt;/td&gt; &lt;td&gt; Information Assurance (IA) in the Defense Acquisition System &lt;/td&gt; &lt;/tr&gt;</v>
      </c>
    </row>
    <row r="824" spans="1:9" x14ac:dyDescent="0.25">
      <c r="A824" t="s">
        <v>1142</v>
      </c>
      <c r="B824" t="s">
        <v>870</v>
      </c>
      <c r="C824" t="str">
        <f t="shared" si="36"/>
        <v>8580.02</v>
      </c>
      <c r="D824" t="s">
        <v>1157</v>
      </c>
      <c r="E824" s="2">
        <v>42228</v>
      </c>
      <c r="G824" t="s">
        <v>822</v>
      </c>
      <c r="H824" t="str">
        <f t="shared" si="37"/>
        <v>https://federallibrary.us/DOD/DODI/8580.02/CURRENT/TITLE.html</v>
      </c>
      <c r="I824" t="str">
        <f t="shared" si="38"/>
        <v>&lt;tr&gt; &lt;td&gt; &lt;a href=https://federallibrary.us/DOD/DODI/8580.02/CURRENT/TITLE.html&gt; DODI 8580.02&lt;/a&gt; &lt;/td&gt; &lt;td&gt; Security of Individually Identifiable Health Information in DoD Health Care Programs &lt;/td&gt; &lt;/tr&gt;</v>
      </c>
    </row>
    <row r="825" spans="1:9" x14ac:dyDescent="0.25">
      <c r="A825" t="s">
        <v>1143</v>
      </c>
      <c r="B825" t="s">
        <v>845</v>
      </c>
      <c r="C825" t="str">
        <f t="shared" si="36"/>
        <v>8582.01</v>
      </c>
      <c r="D825" t="s">
        <v>1157</v>
      </c>
      <c r="E825" s="2">
        <v>43808</v>
      </c>
      <c r="G825" t="s">
        <v>823</v>
      </c>
      <c r="H825" t="str">
        <f t="shared" si="37"/>
        <v>https://federallibrary.us/DOD/DODI/8582.01/CURRENT/TITLE.html</v>
      </c>
      <c r="I825" t="str">
        <f t="shared" si="38"/>
        <v>&lt;tr&gt; &lt;td&gt; &lt;a href=https://federallibrary.us/DOD/DODI/8582.01/CURRENT/TITLE.html&gt; DODI 8582.01&lt;/a&gt; &lt;/td&gt; &lt;td&gt; Security of Non-DoD Information Systems Processing Unclassified Nonpublic DoD Information &lt;/td&gt; &lt;/tr&gt;</v>
      </c>
    </row>
    <row r="826" spans="1:9" x14ac:dyDescent="0.25">
      <c r="A826" t="s">
        <v>1144</v>
      </c>
      <c r="B826" t="s">
        <v>845</v>
      </c>
      <c r="C826" t="str">
        <f t="shared" si="36"/>
        <v>8585.01</v>
      </c>
      <c r="D826" t="s">
        <v>1157</v>
      </c>
      <c r="E826" s="2">
        <v>45302</v>
      </c>
      <c r="G826" t="s">
        <v>824</v>
      </c>
      <c r="H826" t="str">
        <f t="shared" si="37"/>
        <v>https://federallibrary.us/DOD/DODI/8585.01/CURRENT/TITLE.html</v>
      </c>
      <c r="I826" t="str">
        <f t="shared" si="38"/>
        <v>&lt;tr&gt; &lt;td&gt; &lt;a href=https://federallibrary.us/DOD/DODI/8585.01/CURRENT/TITLE.html&gt; DODI 8585.01&lt;/a&gt; &lt;/td&gt; &lt;td&gt; DoD Cyber Red Teams &lt;/td&gt; &lt;/tr&gt;</v>
      </c>
    </row>
    <row r="827" spans="1:9" x14ac:dyDescent="0.25">
      <c r="A827" t="s">
        <v>1145</v>
      </c>
      <c r="B827" t="s">
        <v>845</v>
      </c>
      <c r="C827" t="str">
        <f t="shared" si="36"/>
        <v>8910.01</v>
      </c>
      <c r="D827" t="s">
        <v>1157</v>
      </c>
      <c r="E827" s="2">
        <v>44900</v>
      </c>
      <c r="G827" t="s">
        <v>825</v>
      </c>
      <c r="H827" t="str">
        <f t="shared" si="37"/>
        <v>https://federallibrary.us/DOD/DODI/8910.01/CURRENT/TITLE.html</v>
      </c>
      <c r="I827" t="str">
        <f t="shared" si="38"/>
        <v>&lt;tr&gt; &lt;td&gt; &lt;a href=https://federallibrary.us/DOD/DODI/8910.01/CURRENT/TITLE.html&gt; DODI 8910.01&lt;/a&gt; &lt;/td&gt; &lt;td&gt; DoD Implementation of the Paperwork Reduction Act &lt;/td&gt; &lt;/tr&gt;</v>
      </c>
    </row>
    <row r="828" spans="1:9" x14ac:dyDescent="0.25">
      <c r="A828" t="s">
        <v>1146</v>
      </c>
      <c r="B828" t="s">
        <v>1146</v>
      </c>
      <c r="E828" s="2">
        <v>0</v>
      </c>
      <c r="H828" t="str">
        <f t="shared" si="37"/>
        <v/>
      </c>
      <c r="I828" t="str">
        <f t="shared" si="38"/>
        <v/>
      </c>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6035-89CD-46FE-89F0-189D5A2CAB0C}">
  <sheetPr codeName="Sheet3"/>
  <dimension ref="A1"/>
  <sheetViews>
    <sheetView workbookViewId="0">
      <selection activeCell="F15" sqref="F15"/>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Document IDs</vt:lpstr>
      <vt:lpstr>Data Control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Weko</dc:creator>
  <cp:lastModifiedBy>Charles Weko</cp:lastModifiedBy>
  <dcterms:created xsi:type="dcterms:W3CDTF">2024-05-03T13:30:32Z</dcterms:created>
  <dcterms:modified xsi:type="dcterms:W3CDTF">2024-05-26T20:59:58Z</dcterms:modified>
</cp:coreProperties>
</file>